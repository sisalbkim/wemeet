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316-31\Desktop\기타\[최종] 2420110158_김소연_개발산출물\"/>
    </mc:Choice>
  </mc:AlternateContent>
  <bookViews>
    <workbookView xWindow="0" yWindow="0" windowWidth="28800" windowHeight="12135"/>
  </bookViews>
  <sheets>
    <sheet name="메뉴구조도" sheetId="3" r:id="rId1"/>
    <sheet name="프로그램 명세서" sheetId="4" r:id="rId2"/>
    <sheet name="컬렉션 정의서(NoSQL)" sheetId="5" r:id="rId3"/>
    <sheet name="테이블 명세서(RDBMS)" sheetId="6" r:id="rId4"/>
    <sheet name="논리 데이터 모델링(ERD)" sheetId="1" r:id="rId5"/>
    <sheet name="물리 데이터 모델링(ERD)" sheetId="2" r:id="rId6"/>
    <sheet name="WBS" sheetId="7" r:id="rId7"/>
  </sheets>
  <definedNames>
    <definedName name="_xlnm.Print_Area" localSheetId="4">'논리 데이터 모델링(ERD)'!$B$2:$H$22</definedName>
    <definedName name="_xlnm.Print_Area" localSheetId="0">메뉴구조도!$B$2:$J$21</definedName>
    <definedName name="_xlnm.Print_Area" localSheetId="5">'물리 데이터 모델링(ERD)'!$B$2:$K$16</definedName>
    <definedName name="_xlnm.Print_Area" localSheetId="2">'컬렉션 정의서(NoSQL)'!$B$2:$M$9</definedName>
    <definedName name="_xlnm.Print_Area" localSheetId="3">'테이블 명세서(RDBMS)'!$B$2:$N$17</definedName>
    <definedName name="_xlnm.Print_Area" localSheetId="1">'프로그램 명세서'!$B$2:$L$21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7" l="1"/>
  <c r="C24" i="7"/>
  <c r="G23" i="7"/>
  <c r="D23" i="7"/>
  <c r="F52" i="7" l="1"/>
  <c r="F53" i="7"/>
  <c r="F54" i="7"/>
  <c r="F55" i="7"/>
  <c r="F56" i="7"/>
  <c r="C52" i="7"/>
  <c r="C53" i="7"/>
  <c r="C54" i="7"/>
  <c r="C55" i="7"/>
  <c r="C42" i="7"/>
  <c r="F42" i="7"/>
  <c r="C43" i="7"/>
  <c r="F43" i="7"/>
  <c r="F59" i="7"/>
  <c r="F57" i="7"/>
  <c r="F58" i="7"/>
  <c r="C57" i="7"/>
  <c r="C58" i="7"/>
  <c r="C59" i="7"/>
  <c r="C56" i="7"/>
  <c r="F44" i="7"/>
  <c r="F45" i="7"/>
  <c r="F46" i="7"/>
  <c r="F47" i="7"/>
  <c r="F48" i="7"/>
  <c r="F49" i="7"/>
  <c r="F50" i="7"/>
  <c r="F51" i="7"/>
  <c r="C44" i="7"/>
  <c r="C45" i="7"/>
  <c r="C46" i="7"/>
  <c r="C47" i="7"/>
  <c r="C48" i="7"/>
  <c r="C49" i="7"/>
  <c r="C50" i="7"/>
  <c r="C51" i="7"/>
  <c r="C29" i="7"/>
  <c r="F29" i="7"/>
  <c r="C30" i="7"/>
  <c r="F30" i="7"/>
  <c r="C31" i="7"/>
  <c r="F31" i="7"/>
  <c r="F38" i="7"/>
  <c r="F39" i="7"/>
  <c r="F40" i="7"/>
  <c r="F41" i="7"/>
  <c r="C38" i="7"/>
  <c r="C39" i="7"/>
  <c r="C40" i="7"/>
  <c r="C41" i="7"/>
  <c r="C25" i="7"/>
  <c r="C26" i="7"/>
  <c r="C27" i="7"/>
  <c r="C28" i="7"/>
  <c r="C32" i="7"/>
  <c r="C33" i="7"/>
  <c r="C34" i="7"/>
  <c r="C35" i="7"/>
  <c r="C36" i="7"/>
  <c r="C37" i="7"/>
  <c r="E23" i="7"/>
  <c r="F26" i="7"/>
  <c r="F27" i="7"/>
  <c r="F28" i="7"/>
  <c r="F32" i="7"/>
  <c r="F33" i="7"/>
  <c r="F34" i="7"/>
  <c r="F35" i="7"/>
  <c r="F36" i="7"/>
  <c r="F37" i="7"/>
  <c r="F25" i="7"/>
  <c r="C23" i="7"/>
  <c r="E16" i="7"/>
  <c r="F18" i="7"/>
  <c r="F19" i="7"/>
  <c r="F20" i="7"/>
  <c r="F21" i="7"/>
  <c r="F22" i="7"/>
  <c r="F17" i="7"/>
  <c r="C22" i="7"/>
  <c r="C21" i="7"/>
  <c r="C20" i="7"/>
  <c r="C19" i="7"/>
  <c r="C18" i="7"/>
  <c r="C17" i="7"/>
  <c r="G16" i="7"/>
  <c r="C16" i="7" s="1"/>
  <c r="D16" i="7"/>
  <c r="F16" i="7" s="1"/>
  <c r="F15" i="7"/>
  <c r="F4" i="7"/>
  <c r="F5" i="7"/>
  <c r="F6" i="7"/>
  <c r="F7" i="7"/>
  <c r="F8" i="7"/>
  <c r="F9" i="7"/>
  <c r="F10" i="7"/>
  <c r="F11" i="7"/>
  <c r="F12" i="7"/>
  <c r="F13" i="7"/>
  <c r="F14" i="7"/>
  <c r="C13" i="7"/>
  <c r="C14" i="7"/>
  <c r="C3" i="7"/>
  <c r="C4" i="7"/>
  <c r="C5" i="7"/>
  <c r="C6" i="7"/>
  <c r="C7" i="7"/>
  <c r="C8" i="7"/>
  <c r="C9" i="7"/>
  <c r="C10" i="7"/>
  <c r="C11" i="7"/>
  <c r="C12" i="7"/>
  <c r="F3" i="7"/>
  <c r="G2" i="7"/>
  <c r="C2" i="7" s="1"/>
  <c r="F2" i="7"/>
  <c r="F23" i="7" l="1"/>
  <c r="G15" i="7"/>
  <c r="C15" i="7" s="1"/>
</calcChain>
</file>

<file path=xl/sharedStrings.xml><?xml version="1.0" encoding="utf-8"?>
<sst xmlns="http://schemas.openxmlformats.org/spreadsheetml/2006/main" count="543" uniqueCount="254">
  <si>
    <t>사용자</t>
    <phoneticPr fontId="4" type="noConversion"/>
  </si>
  <si>
    <t>구분</t>
  </si>
  <si>
    <t>1depth</t>
  </si>
  <si>
    <t>2depth</t>
  </si>
  <si>
    <t>3depth</t>
  </si>
  <si>
    <t>4depth</t>
    <phoneticPr fontId="4" type="noConversion"/>
  </si>
  <si>
    <t>5depth</t>
    <phoneticPr fontId="1" type="noConversion"/>
  </si>
  <si>
    <t>Tab/Page</t>
    <phoneticPr fontId="1" type="noConversion"/>
  </si>
  <si>
    <t>Page/기능구분</t>
  </si>
  <si>
    <t>비고</t>
  </si>
  <si>
    <t>Page</t>
    <phoneticPr fontId="1" type="noConversion"/>
  </si>
  <si>
    <t>로그인/회원가입</t>
    <phoneticPr fontId="1" type="noConversion"/>
  </si>
  <si>
    <t>로그인</t>
    <phoneticPr fontId="1" type="noConversion"/>
  </si>
  <si>
    <t>-</t>
    <phoneticPr fontId="1" type="noConversion"/>
  </si>
  <si>
    <t>-</t>
    <phoneticPr fontId="1" type="noConversion"/>
  </si>
  <si>
    <t>Program</t>
  </si>
  <si>
    <t>회원가입</t>
    <phoneticPr fontId="1" type="noConversion"/>
  </si>
  <si>
    <t>Page</t>
    <phoneticPr fontId="1" type="noConversion"/>
  </si>
  <si>
    <t>아이디 찾기</t>
    <phoneticPr fontId="1" type="noConversion"/>
  </si>
  <si>
    <t>비밀번호 찾기</t>
    <phoneticPr fontId="1" type="noConversion"/>
  </si>
  <si>
    <t>메인 페이지</t>
    <phoneticPr fontId="1" type="noConversion"/>
  </si>
  <si>
    <t>주식</t>
    <phoneticPr fontId="1" type="noConversion"/>
  </si>
  <si>
    <t>시세 자트조회</t>
    <phoneticPr fontId="1" type="noConversion"/>
  </si>
  <si>
    <t>Tab</t>
    <phoneticPr fontId="1" type="noConversion"/>
  </si>
  <si>
    <t>금융위원회 KRX상장종목정보 API
한국투자증권 API</t>
    <phoneticPr fontId="1" type="noConversion"/>
  </si>
  <si>
    <t>투자 지표 조회</t>
    <phoneticPr fontId="1" type="noConversion"/>
  </si>
  <si>
    <t>Tab</t>
    <phoneticPr fontId="1" type="noConversion"/>
  </si>
  <si>
    <t>한국투자증권 API</t>
    <phoneticPr fontId="1" type="noConversion"/>
  </si>
  <si>
    <t>공시 자료 조회</t>
    <phoneticPr fontId="1" type="noConversion"/>
  </si>
  <si>
    <t>DART API</t>
    <phoneticPr fontId="1" type="noConversion"/>
  </si>
  <si>
    <t>모의 매수/매도 주문</t>
    <phoneticPr fontId="1" type="noConversion"/>
  </si>
  <si>
    <t>암호화폐</t>
    <phoneticPr fontId="1" type="noConversion"/>
  </si>
  <si>
    <t>시세 자트조회</t>
    <phoneticPr fontId="1" type="noConversion"/>
  </si>
  <si>
    <t>업비트 API</t>
    <phoneticPr fontId="1" type="noConversion"/>
  </si>
  <si>
    <t>모의 매수/매도 주문</t>
    <phoneticPr fontId="1" type="noConversion"/>
  </si>
  <si>
    <t>뉴스</t>
    <phoneticPr fontId="1" type="noConversion"/>
  </si>
  <si>
    <t>뉴스 조회</t>
    <phoneticPr fontId="1" type="noConversion"/>
  </si>
  <si>
    <t>네이버 뉴스 API</t>
    <phoneticPr fontId="1" type="noConversion"/>
  </si>
  <si>
    <t>뉴스 즐겨찾기 편집</t>
    <phoneticPr fontId="1" type="noConversion"/>
  </si>
  <si>
    <t>용어 사전</t>
    <phoneticPr fontId="1" type="noConversion"/>
  </si>
  <si>
    <t>용어 검색</t>
    <phoneticPr fontId="1" type="noConversion"/>
  </si>
  <si>
    <t>한국은행 API</t>
    <phoneticPr fontId="1" type="noConversion"/>
  </si>
  <si>
    <t>마이페이지</t>
    <phoneticPr fontId="1" type="noConversion"/>
  </si>
  <si>
    <t>보유 자산</t>
    <phoneticPr fontId="1" type="noConversion"/>
  </si>
  <si>
    <t>거래 내역</t>
    <phoneticPr fontId="1" type="noConversion"/>
  </si>
  <si>
    <t>회원정보 수정</t>
    <phoneticPr fontId="1" type="noConversion"/>
  </si>
  <si>
    <t>로그아웃</t>
    <phoneticPr fontId="1" type="noConversion"/>
  </si>
  <si>
    <t>사용자</t>
  </si>
  <si>
    <t>NO</t>
  </si>
  <si>
    <t>업무영역</t>
  </si>
  <si>
    <t>프로그램명</t>
  </si>
  <si>
    <t>DB Transaction</t>
  </si>
  <si>
    <t>프로그램ID</t>
  </si>
  <si>
    <t>작업자</t>
  </si>
  <si>
    <t>Lev1</t>
  </si>
  <si>
    <t>Lev2</t>
  </si>
  <si>
    <t>Lev3</t>
  </si>
  <si>
    <t>Lev4</t>
  </si>
  <si>
    <t>Lev5</t>
  </si>
  <si>
    <t>로그인</t>
    <phoneticPr fontId="1" type="noConversion"/>
  </si>
  <si>
    <t>로그인</t>
    <phoneticPr fontId="1" type="noConversion"/>
  </si>
  <si>
    <t>R</t>
    <phoneticPr fontId="1" type="noConversion"/>
  </si>
  <si>
    <t>LOGIN_001</t>
    <phoneticPr fontId="1" type="noConversion"/>
  </si>
  <si>
    <t>김소연</t>
    <phoneticPr fontId="1" type="noConversion"/>
  </si>
  <si>
    <t>사용자</t>
    <phoneticPr fontId="1" type="noConversion"/>
  </si>
  <si>
    <t>회원가입</t>
    <phoneticPr fontId="1" type="noConversion"/>
  </si>
  <si>
    <t>-</t>
    <phoneticPr fontId="1" type="noConversion"/>
  </si>
  <si>
    <t>C</t>
    <phoneticPr fontId="1" type="noConversion"/>
  </si>
  <si>
    <t>SIGNUP_001</t>
    <phoneticPr fontId="1" type="noConversion"/>
  </si>
  <si>
    <t>김소연</t>
    <phoneticPr fontId="1" type="noConversion"/>
  </si>
  <si>
    <t>아이디 찾기</t>
    <phoneticPr fontId="1" type="noConversion"/>
  </si>
  <si>
    <t>R</t>
    <phoneticPr fontId="1" type="noConversion"/>
  </si>
  <si>
    <t>FIND_ID_001</t>
    <phoneticPr fontId="1" type="noConversion"/>
  </si>
  <si>
    <t>사용자</t>
    <phoneticPr fontId="1" type="noConversion"/>
  </si>
  <si>
    <t>R, U</t>
    <phoneticPr fontId="1" type="noConversion"/>
  </si>
  <si>
    <t>FIND_PW_001</t>
    <phoneticPr fontId="1" type="noConversion"/>
  </si>
  <si>
    <t>MAIN_001</t>
    <phoneticPr fontId="1" type="noConversion"/>
  </si>
  <si>
    <t>주식</t>
    <phoneticPr fontId="1" type="noConversion"/>
  </si>
  <si>
    <t>STOCK_001</t>
    <phoneticPr fontId="1" type="noConversion"/>
  </si>
  <si>
    <t>투자 지표 조회</t>
    <phoneticPr fontId="1" type="noConversion"/>
  </si>
  <si>
    <t>공시 자료 조회</t>
    <phoneticPr fontId="1" type="noConversion"/>
  </si>
  <si>
    <t>C</t>
    <phoneticPr fontId="1" type="noConversion"/>
  </si>
  <si>
    <t>암호화폐</t>
    <phoneticPr fontId="1" type="noConversion"/>
  </si>
  <si>
    <t>COIN_001</t>
    <phoneticPr fontId="1" type="noConversion"/>
  </si>
  <si>
    <t>뉴스</t>
    <phoneticPr fontId="1" type="noConversion"/>
  </si>
  <si>
    <t>뉴스 조회</t>
    <phoneticPr fontId="1" type="noConversion"/>
  </si>
  <si>
    <t>NEWS_001</t>
    <phoneticPr fontId="1" type="noConversion"/>
  </si>
  <si>
    <t>뉴스 즐겨찾기 편집</t>
    <phoneticPr fontId="1" type="noConversion"/>
  </si>
  <si>
    <t>U, D</t>
    <phoneticPr fontId="1" type="noConversion"/>
  </si>
  <si>
    <t>NEWS_002</t>
    <phoneticPr fontId="1" type="noConversion"/>
  </si>
  <si>
    <t>용어 검색</t>
    <phoneticPr fontId="1" type="noConversion"/>
  </si>
  <si>
    <t>WORD_001</t>
    <phoneticPr fontId="1" type="noConversion"/>
  </si>
  <si>
    <t>R</t>
    <phoneticPr fontId="1" type="noConversion"/>
  </si>
  <si>
    <t>MYPAGE_001</t>
    <phoneticPr fontId="1" type="noConversion"/>
  </si>
  <si>
    <t>MYPAGE_002</t>
    <phoneticPr fontId="1" type="noConversion"/>
  </si>
  <si>
    <t>회원정보 수정</t>
    <phoneticPr fontId="1" type="noConversion"/>
  </si>
  <si>
    <t>MYPAGE_003</t>
    <phoneticPr fontId="1" type="noConversion"/>
  </si>
  <si>
    <t>컬랙션 정의서</t>
    <phoneticPr fontId="1" type="noConversion"/>
  </si>
  <si>
    <t>Collection ID</t>
    <phoneticPr fontId="1" type="noConversion"/>
  </si>
  <si>
    <t>Collection 명</t>
    <phoneticPr fontId="1" type="noConversion"/>
  </si>
  <si>
    <t>NO</t>
    <phoneticPr fontId="1" type="noConversion"/>
  </si>
  <si>
    <t>Depth</t>
    <phoneticPr fontId="1" type="noConversion"/>
  </si>
  <si>
    <t>칼럼ID</t>
    <phoneticPr fontId="1" type="noConversion"/>
  </si>
  <si>
    <t>칼럼명</t>
    <phoneticPr fontId="1" type="noConversion"/>
  </si>
  <si>
    <t>Type</t>
    <phoneticPr fontId="1" type="noConversion"/>
  </si>
  <si>
    <t>Length</t>
    <phoneticPr fontId="1" type="noConversion"/>
  </si>
  <si>
    <t>Decimal</t>
    <phoneticPr fontId="1" type="noConversion"/>
  </si>
  <si>
    <t>PK</t>
    <phoneticPr fontId="1" type="noConversion"/>
  </si>
  <si>
    <t>NOT NULL</t>
    <phoneticPr fontId="1" type="noConversion"/>
  </si>
  <si>
    <t>UNIQUE</t>
    <phoneticPr fontId="1" type="noConversion"/>
  </si>
  <si>
    <t>NEWS</t>
    <phoneticPr fontId="1" type="noConversion"/>
  </si>
  <si>
    <t>USER_EMAIL</t>
    <phoneticPr fontId="1" type="noConversion"/>
  </si>
  <si>
    <t>이메일</t>
    <phoneticPr fontId="1" type="noConversion"/>
  </si>
  <si>
    <t>STRING</t>
    <phoneticPr fontId="1" type="noConversion"/>
  </si>
  <si>
    <t>NEWS_ID</t>
    <phoneticPr fontId="1" type="noConversion"/>
  </si>
  <si>
    <t>뉴스 ID</t>
    <phoneticPr fontId="1" type="noConversion"/>
  </si>
  <si>
    <t>TITLE</t>
    <phoneticPr fontId="1" type="noConversion"/>
  </si>
  <si>
    <t>뉴스제목</t>
    <phoneticPr fontId="1" type="noConversion"/>
  </si>
  <si>
    <t>URL</t>
    <phoneticPr fontId="1" type="noConversion"/>
  </si>
  <si>
    <t>뉴스 URL</t>
    <phoneticPr fontId="1" type="noConversion"/>
  </si>
  <si>
    <t>NOTE</t>
    <phoneticPr fontId="1" type="noConversion"/>
  </si>
  <si>
    <t>메모</t>
    <phoneticPr fontId="1" type="noConversion"/>
  </si>
  <si>
    <t>SCRAP_TIME</t>
    <phoneticPr fontId="1" type="noConversion"/>
  </si>
  <si>
    <t>스크랩 시간</t>
    <phoneticPr fontId="1" type="noConversion"/>
  </si>
  <si>
    <t>DATE</t>
    <phoneticPr fontId="1" type="noConversion"/>
  </si>
  <si>
    <t>테이블 명세서</t>
    <phoneticPr fontId="1" type="noConversion"/>
  </si>
  <si>
    <t>Table ID</t>
  </si>
  <si>
    <t>Table 명</t>
  </si>
  <si>
    <t>Column ID</t>
  </si>
  <si>
    <t>Column Name</t>
  </si>
  <si>
    <t>Type</t>
  </si>
  <si>
    <t>Length</t>
  </si>
  <si>
    <t>Decimal</t>
  </si>
  <si>
    <t>PK</t>
  </si>
  <si>
    <t>NOT NULL</t>
  </si>
  <si>
    <t>UNIQUE</t>
  </si>
  <si>
    <t>FK</t>
  </si>
  <si>
    <t>비고</t>
    <phoneticPr fontId="1" type="noConversion"/>
  </si>
  <si>
    <t>USER_INFO</t>
    <phoneticPr fontId="1" type="noConversion"/>
  </si>
  <si>
    <t>회원정보</t>
    <phoneticPr fontId="1" type="noConversion"/>
  </si>
  <si>
    <t>USER_EMAIL</t>
    <phoneticPr fontId="1" type="noConversion"/>
  </si>
  <si>
    <t>회원이메일</t>
    <phoneticPr fontId="1" type="noConversion"/>
  </si>
  <si>
    <t>VARCHAR</t>
    <phoneticPr fontId="1" type="noConversion"/>
  </si>
  <si>
    <t>*</t>
    <phoneticPr fontId="1" type="noConversion"/>
  </si>
  <si>
    <t>USER_PWD</t>
    <phoneticPr fontId="1" type="noConversion"/>
  </si>
  <si>
    <t>암호</t>
    <phoneticPr fontId="1" type="noConversion"/>
  </si>
  <si>
    <t>VARCHAR</t>
    <phoneticPr fontId="1" type="noConversion"/>
  </si>
  <si>
    <t>-</t>
    <phoneticPr fontId="1" type="noConversion"/>
  </si>
  <si>
    <t>USER_NAME</t>
    <phoneticPr fontId="1" type="noConversion"/>
  </si>
  <si>
    <t>이름</t>
    <phoneticPr fontId="1" type="noConversion"/>
  </si>
  <si>
    <t>USER_PNUM</t>
    <phoneticPr fontId="1" type="noConversion"/>
  </si>
  <si>
    <t>휴대폰번호</t>
    <phoneticPr fontId="1" type="noConversion"/>
  </si>
  <si>
    <t>REG_DT</t>
    <phoneticPr fontId="1" type="noConversion"/>
  </si>
  <si>
    <t>등록일</t>
    <phoneticPr fontId="1" type="noConversion"/>
  </si>
  <si>
    <t>DATETIME</t>
    <phoneticPr fontId="1" type="noConversion"/>
  </si>
  <si>
    <t>USER_EMAIL</t>
    <phoneticPr fontId="1" type="noConversion"/>
  </si>
  <si>
    <t>회원이메일</t>
    <phoneticPr fontId="1" type="noConversion"/>
  </si>
  <si>
    <t>*</t>
    <phoneticPr fontId="1" type="noConversion"/>
  </si>
  <si>
    <t>VARCHAR</t>
    <phoneticPr fontId="1" type="noConversion"/>
  </si>
  <si>
    <t>-</t>
    <phoneticPr fontId="1" type="noConversion"/>
  </si>
  <si>
    <t>*</t>
    <phoneticPr fontId="1" type="noConversion"/>
  </si>
  <si>
    <t>DECIMAL</t>
    <phoneticPr fontId="1" type="noConversion"/>
  </si>
  <si>
    <t>DATETIME</t>
    <phoneticPr fontId="1" type="noConversion"/>
  </si>
  <si>
    <t>태스크</t>
  </si>
  <si>
    <t>상태</t>
  </si>
  <si>
    <t>시작일</t>
  </si>
  <si>
    <t>종료일</t>
  </si>
  <si>
    <t>기간</t>
  </si>
  <si>
    <t>진척률</t>
  </si>
  <si>
    <t>설계</t>
  </si>
  <si>
    <t>메뉴 구조도</t>
    <phoneticPr fontId="1" type="noConversion"/>
  </si>
  <si>
    <t>프로그램 명세서</t>
    <phoneticPr fontId="1" type="noConversion"/>
  </si>
  <si>
    <t>DB 설계(ERD)</t>
    <phoneticPr fontId="1" type="noConversion"/>
  </si>
  <si>
    <t>논리ERD 작성</t>
    <phoneticPr fontId="4" type="noConversion"/>
  </si>
  <si>
    <t>물리ERD 작성</t>
  </si>
  <si>
    <t>테이블 명세서</t>
  </si>
  <si>
    <t>DB 구현</t>
  </si>
  <si>
    <t>화면 설계서</t>
    <phoneticPr fontId="1" type="noConversion"/>
  </si>
  <si>
    <t>개발환경 세팅</t>
    <phoneticPr fontId="1" type="noConversion"/>
  </si>
  <si>
    <r>
      <t xml:space="preserve">Spring </t>
    </r>
    <r>
      <rPr>
        <sz val="11"/>
        <color rgb="FF000000"/>
        <rFont val="맑은 고딕"/>
        <family val="3"/>
        <charset val="129"/>
      </rPr>
      <t>Boot</t>
    </r>
    <r>
      <rPr>
        <sz val="11"/>
        <color rgb="FF000000"/>
        <rFont val="맑은 고딕"/>
        <family val="3"/>
        <charset val="129"/>
      </rPr>
      <t>세팅</t>
    </r>
    <phoneticPr fontId="4" type="noConversion"/>
  </si>
  <si>
    <r>
      <t>MariaDB</t>
    </r>
    <r>
      <rPr>
        <sz val="11"/>
        <color rgb="FF000000"/>
        <rFont val="맑은 고딕"/>
        <family val="3"/>
        <charset val="129"/>
      </rPr>
      <t xml:space="preserve"> 세팅</t>
    </r>
  </si>
  <si>
    <t>MongoDB 세팅</t>
  </si>
  <si>
    <t>김소연</t>
    <phoneticPr fontId="1" type="noConversion"/>
  </si>
  <si>
    <t>구현(소프트웨어개발)</t>
  </si>
  <si>
    <t>회원관리</t>
    <phoneticPr fontId="1" type="noConversion"/>
  </si>
  <si>
    <t>로그인</t>
    <phoneticPr fontId="4" type="noConversion"/>
  </si>
  <si>
    <t xml:space="preserve">회원가입 </t>
    <phoneticPr fontId="4" type="noConversion"/>
  </si>
  <si>
    <t xml:space="preserve">이메일 인증 </t>
    <phoneticPr fontId="4" type="noConversion"/>
  </si>
  <si>
    <t xml:space="preserve">아이디 찾기 </t>
    <phoneticPr fontId="4" type="noConversion"/>
  </si>
  <si>
    <t>김소연</t>
    <phoneticPr fontId="1" type="noConversion"/>
  </si>
  <si>
    <t>김소연</t>
    <phoneticPr fontId="4" type="noConversion"/>
  </si>
  <si>
    <t xml:space="preserve">이메일 중복체크 </t>
    <phoneticPr fontId="4" type="noConversion"/>
  </si>
  <si>
    <t>사용자</t>
    <phoneticPr fontId="1" type="noConversion"/>
  </si>
  <si>
    <t>메인페이지</t>
    <phoneticPr fontId="1" type="noConversion"/>
  </si>
  <si>
    <t>비밀번호 변경</t>
    <phoneticPr fontId="4" type="noConversion"/>
  </si>
  <si>
    <t>주식 검색</t>
    <phoneticPr fontId="1" type="noConversion"/>
  </si>
  <si>
    <t>종목명 ISIN코드로 변환</t>
    <phoneticPr fontId="1" type="noConversion"/>
  </si>
  <si>
    <t>주식 현재가 캔들 차트</t>
    <phoneticPr fontId="1" type="noConversion"/>
  </si>
  <si>
    <t>Corp_name Corp_code로 변환</t>
    <phoneticPr fontId="1" type="noConversion"/>
  </si>
  <si>
    <t>KRX상장종목정보 API 호출</t>
    <phoneticPr fontId="1" type="noConversion"/>
  </si>
  <si>
    <t>DART API 호출</t>
    <phoneticPr fontId="1" type="noConversion"/>
  </si>
  <si>
    <t>공시 자료 조회</t>
    <phoneticPr fontId="1" type="noConversion"/>
  </si>
  <si>
    <t>주식 매수</t>
    <phoneticPr fontId="1" type="noConversion"/>
  </si>
  <si>
    <t>주식 매도</t>
    <phoneticPr fontId="1" type="noConversion"/>
  </si>
  <si>
    <t>암호화폐</t>
    <phoneticPr fontId="1" type="noConversion"/>
  </si>
  <si>
    <t xml:space="preserve"> 코인 검색</t>
    <phoneticPr fontId="1" type="noConversion"/>
  </si>
  <si>
    <t>업비트 API 호출</t>
    <phoneticPr fontId="1" type="noConversion"/>
  </si>
  <si>
    <t>코인 현재가 캔들 차트</t>
    <phoneticPr fontId="1" type="noConversion"/>
  </si>
  <si>
    <t>뉴스</t>
    <phoneticPr fontId="1" type="noConversion"/>
  </si>
  <si>
    <t>용어 사전</t>
    <phoneticPr fontId="1" type="noConversion"/>
  </si>
  <si>
    <t>뉴스 검색</t>
    <phoneticPr fontId="1" type="noConversion"/>
  </si>
  <si>
    <t>네이버 뉴스 API호출</t>
    <phoneticPr fontId="1" type="noConversion"/>
  </si>
  <si>
    <t>한국투자증권  API 호출</t>
    <phoneticPr fontId="1" type="noConversion"/>
  </si>
  <si>
    <t>현재가 조회</t>
    <phoneticPr fontId="1" type="noConversion"/>
  </si>
  <si>
    <t>사용자 메모</t>
    <phoneticPr fontId="1" type="noConversion"/>
  </si>
  <si>
    <t>뉴스 즐겨찾기</t>
    <phoneticPr fontId="1" type="noConversion"/>
  </si>
  <si>
    <t>용어 검색</t>
    <phoneticPr fontId="1" type="noConversion"/>
  </si>
  <si>
    <t>한국은행 경제 통계 API 호출</t>
    <phoneticPr fontId="1" type="noConversion"/>
  </si>
  <si>
    <t>로그아웃</t>
    <phoneticPr fontId="1" type="noConversion"/>
  </si>
  <si>
    <t>프로그램 점검</t>
    <phoneticPr fontId="4" type="noConversion"/>
  </si>
  <si>
    <t>배포 및 테스트</t>
    <phoneticPr fontId="1" type="noConversion"/>
  </si>
  <si>
    <t>유지보수</t>
  </si>
  <si>
    <t>코인 매수</t>
    <phoneticPr fontId="1" type="noConversion"/>
  </si>
  <si>
    <t>코인 매도</t>
    <phoneticPr fontId="1" type="noConversion"/>
  </si>
  <si>
    <t>마이페이지</t>
    <phoneticPr fontId="1" type="noConversion"/>
  </si>
  <si>
    <t>보유자산</t>
    <phoneticPr fontId="1" type="noConversion"/>
  </si>
  <si>
    <t>거래내역</t>
    <phoneticPr fontId="1" type="noConversion"/>
  </si>
  <si>
    <t>회원정보수정</t>
    <phoneticPr fontId="1" type="noConversion"/>
  </si>
  <si>
    <t>PER,EPS,PBR,BPS,외국인 보유율 조회</t>
    <phoneticPr fontId="1" type="noConversion"/>
  </si>
  <si>
    <t>U</t>
    <phoneticPr fontId="1" type="noConversion"/>
  </si>
  <si>
    <t>TRADE_ID</t>
    <phoneticPr fontId="1" type="noConversion"/>
  </si>
  <si>
    <t>거래 ID</t>
    <phoneticPr fontId="1" type="noConversion"/>
  </si>
  <si>
    <t>자산 구분</t>
    <phoneticPr fontId="1" type="noConversion"/>
  </si>
  <si>
    <t>USER_INFO</t>
    <phoneticPr fontId="1" type="noConversion"/>
  </si>
  <si>
    <t>*</t>
    <phoneticPr fontId="1" type="noConversion"/>
  </si>
  <si>
    <t>STOCK / COIN</t>
    <phoneticPr fontId="1" type="noConversion"/>
  </si>
  <si>
    <t>ASSET_TYPE</t>
    <phoneticPr fontId="1" type="noConversion"/>
  </si>
  <si>
    <t>ASSET_CODE</t>
    <phoneticPr fontId="1" type="noConversion"/>
  </si>
  <si>
    <t>자산 코드</t>
    <phoneticPr fontId="1" type="noConversion"/>
  </si>
  <si>
    <t>ASSET_NAME</t>
    <phoneticPr fontId="1" type="noConversion"/>
  </si>
  <si>
    <t>자산 이름</t>
    <phoneticPr fontId="1" type="noConversion"/>
  </si>
  <si>
    <t>-</t>
    <phoneticPr fontId="1" type="noConversion"/>
  </si>
  <si>
    <t>*</t>
    <phoneticPr fontId="1" type="noConversion"/>
  </si>
  <si>
    <t>TRADE_TYPE</t>
    <phoneticPr fontId="1" type="noConversion"/>
  </si>
  <si>
    <t>매매구분</t>
    <phoneticPr fontId="1" type="noConversion"/>
  </si>
  <si>
    <t>BUY / SELL</t>
    <phoneticPr fontId="1" type="noConversion"/>
  </si>
  <si>
    <t>QUNTITY</t>
    <phoneticPr fontId="1" type="noConversion"/>
  </si>
  <si>
    <t>수량</t>
    <phoneticPr fontId="1" type="noConversion"/>
  </si>
  <si>
    <t>거래 단가</t>
    <phoneticPr fontId="1" type="noConversion"/>
  </si>
  <si>
    <t>PRICE</t>
    <phoneticPr fontId="1" type="noConversion"/>
  </si>
  <si>
    <t>TRADE_TIME</t>
    <phoneticPr fontId="1" type="noConversion"/>
  </si>
  <si>
    <t>거래 시간</t>
    <phoneticPr fontId="1" type="noConversion"/>
  </si>
  <si>
    <t>자산</t>
    <phoneticPr fontId="1" type="noConversion"/>
  </si>
  <si>
    <t>TRADE_ASSET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</si>
</sst>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/mm/dd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2"/>
      <color rgb="FF000000"/>
      <name val="Malgun Gothic"/>
      <family val="3"/>
      <charset val="129"/>
    </font>
    <font>
      <b/>
      <sz val="12"/>
      <color rgb="FF000000"/>
      <name val="Arial"/>
      <family val="2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Arial"/>
      <family val="2"/>
    </font>
    <font>
      <b/>
      <sz val="11"/>
      <color theme="1"/>
      <name val="맑은 고딕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BFBFBF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5B9BD5"/>
      </patternFill>
    </fill>
    <fill>
      <patternFill patternType="solid">
        <fgColor rgb="FF5B9BD5"/>
        <bgColor rgb="FF5B9BD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left" vertical="center" indent="1"/>
      <protection locked="0"/>
    </xf>
    <xf numFmtId="0" fontId="0" fillId="0" borderId="4" xfId="0" applyBorder="1" applyAlignment="1" applyProtection="1">
      <alignment horizontal="left" vertical="center" indent="1"/>
      <protection locked="0"/>
    </xf>
    <xf numFmtId="0" fontId="13" fillId="9" borderId="19" xfId="0" applyFont="1" applyFill="1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176" fontId="12" fillId="11" borderId="5" xfId="0" applyNumberFormat="1" applyFont="1" applyFill="1" applyBorder="1" applyAlignment="1">
      <alignment horizontal="center"/>
    </xf>
    <xf numFmtId="176" fontId="13" fillId="9" borderId="19" xfId="0" applyNumberFormat="1" applyFont="1" applyFill="1" applyBorder="1" applyAlignment="1" applyProtection="1">
      <alignment horizontal="center"/>
      <protection locked="0"/>
    </xf>
    <xf numFmtId="0" fontId="13" fillId="9" borderId="19" xfId="0" applyFont="1" applyFill="1" applyBorder="1" applyAlignment="1">
      <alignment horizontal="center" wrapText="1"/>
    </xf>
    <xf numFmtId="176" fontId="12" fillId="10" borderId="5" xfId="0" applyNumberFormat="1" applyFont="1" applyFill="1" applyBorder="1" applyAlignment="1">
      <alignment horizontal="center"/>
    </xf>
    <xf numFmtId="176" fontId="13" fillId="10" borderId="19" xfId="0" applyNumberFormat="1" applyFont="1" applyFill="1" applyBorder="1" applyAlignment="1" applyProtection="1">
      <alignment horizontal="center"/>
      <protection locked="0"/>
    </xf>
    <xf numFmtId="0" fontId="0" fillId="0" borderId="19" xfId="0" applyBorder="1" applyAlignment="1">
      <alignment horizontal="center"/>
    </xf>
    <xf numFmtId="0" fontId="5" fillId="0" borderId="4" xfId="0" applyFont="1" applyBorder="1" applyAlignment="1" applyProtection="1">
      <alignment horizontal="left" vertical="center"/>
      <protection locked="0"/>
    </xf>
    <xf numFmtId="0" fontId="13" fillId="10" borderId="5" xfId="0" applyFont="1" applyFill="1" applyBorder="1" applyAlignment="1" applyProtection="1">
      <alignment horizontal="center"/>
      <protection locked="0"/>
    </xf>
    <xf numFmtId="0" fontId="13" fillId="13" borderId="19" xfId="0" applyFont="1" applyFill="1" applyBorder="1" applyAlignment="1" applyProtection="1">
      <alignment horizontal="center"/>
      <protection locked="0"/>
    </xf>
    <xf numFmtId="176" fontId="13" fillId="13" borderId="19" xfId="0" applyNumberFormat="1" applyFont="1" applyFill="1" applyBorder="1" applyAlignment="1" applyProtection="1">
      <alignment horizontal="center"/>
      <protection locked="0"/>
    </xf>
    <xf numFmtId="0" fontId="13" fillId="13" borderId="19" xfId="0" applyFont="1" applyFill="1" applyBorder="1" applyAlignment="1">
      <alignment horizontal="center" wrapText="1"/>
    </xf>
    <xf numFmtId="176" fontId="0" fillId="0" borderId="5" xfId="0" applyNumberFormat="1" applyBorder="1" applyAlignment="1" applyProtection="1">
      <alignment horizontal="center" vertical="center"/>
      <protection locked="0"/>
    </xf>
    <xf numFmtId="9" fontId="0" fillId="0" borderId="6" xfId="0" applyNumberFormat="1" applyBorder="1" applyAlignment="1" applyProtection="1">
      <alignment horizontal="center"/>
      <protection locked="0"/>
    </xf>
    <xf numFmtId="176" fontId="12" fillId="9" borderId="19" xfId="0" applyNumberFormat="1" applyFont="1" applyFill="1" applyBorder="1" applyAlignment="1">
      <alignment horizontal="center"/>
    </xf>
    <xf numFmtId="176" fontId="12" fillId="13" borderId="19" xfId="0" applyNumberFormat="1" applyFont="1" applyFill="1" applyBorder="1" applyAlignment="1">
      <alignment horizontal="center"/>
    </xf>
    <xf numFmtId="0" fontId="0" fillId="14" borderId="5" xfId="0" applyFill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176" fontId="0" fillId="14" borderId="5" xfId="0" applyNumberFormat="1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 vertical="center"/>
    </xf>
    <xf numFmtId="176" fontId="0" fillId="15" borderId="5" xfId="0" applyNumberFormat="1" applyFill="1" applyBorder="1" applyAlignment="1">
      <alignment horizontal="center" vertical="center"/>
    </xf>
    <xf numFmtId="0" fontId="7" fillId="8" borderId="20" xfId="0" applyFont="1" applyFill="1" applyBorder="1" applyAlignment="1" applyProtection="1">
      <alignment horizontal="center" vertical="center"/>
      <protection locked="0"/>
    </xf>
    <xf numFmtId="0" fontId="7" fillId="8" borderId="21" xfId="0" applyFont="1" applyFill="1" applyBorder="1" applyAlignment="1" applyProtection="1">
      <alignment horizontal="center" vertical="center"/>
      <protection locked="0"/>
    </xf>
    <xf numFmtId="176" fontId="7" fillId="8" borderId="21" xfId="0" applyNumberFormat="1" applyFont="1" applyFill="1" applyBorder="1" applyAlignment="1" applyProtection="1">
      <alignment horizontal="center" vertical="center"/>
      <protection locked="0"/>
    </xf>
    <xf numFmtId="0" fontId="7" fillId="8" borderId="21" xfId="0" applyFont="1" applyFill="1" applyBorder="1" applyAlignment="1" applyProtection="1">
      <alignment horizontal="center"/>
      <protection locked="0"/>
    </xf>
    <xf numFmtId="9" fontId="7" fillId="8" borderId="22" xfId="0" applyNumberFormat="1" applyFont="1" applyFill="1" applyBorder="1" applyAlignment="1" applyProtection="1">
      <alignment horizontal="center" vertical="center"/>
      <protection locked="0"/>
    </xf>
    <xf numFmtId="0" fontId="12" fillId="9" borderId="23" xfId="0" applyFont="1" applyFill="1" applyBorder="1" applyAlignment="1" applyProtection="1">
      <protection locked="0"/>
    </xf>
    <xf numFmtId="9" fontId="14" fillId="9" borderId="24" xfId="0" applyNumberFormat="1" applyFont="1" applyFill="1" applyBorder="1" applyAlignment="1">
      <alignment horizontal="center"/>
    </xf>
    <xf numFmtId="0" fontId="9" fillId="0" borderId="23" xfId="0" applyFont="1" applyBorder="1" applyProtection="1">
      <alignment vertical="center"/>
      <protection locked="0"/>
    </xf>
    <xf numFmtId="9" fontId="0" fillId="0" borderId="24" xfId="0" applyNumberFormat="1" applyBorder="1" applyAlignment="1" applyProtection="1">
      <alignment horizontal="center"/>
      <protection locked="0"/>
    </xf>
    <xf numFmtId="0" fontId="9" fillId="0" borderId="4" xfId="0" applyFont="1" applyBorder="1">
      <alignment vertical="center"/>
    </xf>
    <xf numFmtId="0" fontId="9" fillId="0" borderId="4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 vertical="center" indent="1"/>
      <protection locked="0"/>
    </xf>
    <xf numFmtId="9" fontId="13" fillId="9" borderId="24" xfId="0" applyNumberFormat="1" applyFont="1" applyFill="1" applyBorder="1" applyAlignment="1">
      <alignment horizontal="center" wrapText="1"/>
    </xf>
    <xf numFmtId="0" fontId="5" fillId="12" borderId="23" xfId="0" applyFont="1" applyFill="1" applyBorder="1" applyProtection="1">
      <alignment vertical="center"/>
      <protection locked="0"/>
    </xf>
    <xf numFmtId="9" fontId="13" fillId="13" borderId="24" xfId="0" applyNumberFormat="1" applyFont="1" applyFill="1" applyBorder="1" applyAlignment="1">
      <alignment horizontal="center" wrapText="1"/>
    </xf>
    <xf numFmtId="0" fontId="16" fillId="0" borderId="4" xfId="0" applyFont="1" applyBorder="1" applyAlignment="1">
      <alignment horizontal="left" vertical="center" indent="1"/>
    </xf>
    <xf numFmtId="0" fontId="17" fillId="0" borderId="4" xfId="0" applyFont="1" applyBorder="1" applyAlignment="1">
      <alignment horizontal="left" vertical="center" indent="1"/>
    </xf>
    <xf numFmtId="0" fontId="17" fillId="0" borderId="4" xfId="0" quotePrefix="1" applyFont="1" applyBorder="1" applyAlignment="1">
      <alignment horizontal="left" vertical="center" indent="1"/>
    </xf>
    <xf numFmtId="0" fontId="18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5" fillId="14" borderId="23" xfId="0" applyFont="1" applyFill="1" applyBorder="1" applyProtection="1">
      <alignment vertical="center"/>
      <protection locked="0"/>
    </xf>
    <xf numFmtId="9" fontId="0" fillId="14" borderId="6" xfId="0" applyNumberFormat="1" applyFill="1" applyBorder="1" applyAlignment="1">
      <alignment horizontal="center" vertical="center"/>
    </xf>
    <xf numFmtId="0" fontId="15" fillId="15" borderId="23" xfId="0" applyFont="1" applyFill="1" applyBorder="1" applyProtection="1">
      <alignment vertical="center"/>
      <protection locked="0"/>
    </xf>
    <xf numFmtId="9" fontId="0" fillId="15" borderId="6" xfId="0" applyNumberFormat="1" applyFill="1" applyBorder="1" applyAlignment="1">
      <alignment horizontal="center" vertical="center"/>
    </xf>
    <xf numFmtId="0" fontId="15" fillId="15" borderId="25" xfId="0" applyFont="1" applyFill="1" applyBorder="1" applyProtection="1">
      <alignment vertical="center"/>
      <protection locked="0"/>
    </xf>
    <xf numFmtId="0" fontId="0" fillId="15" borderId="12" xfId="0" applyFill="1" applyBorder="1" applyAlignment="1">
      <alignment horizontal="center" vertical="center"/>
    </xf>
    <xf numFmtId="0" fontId="11" fillId="15" borderId="12" xfId="0" applyFont="1" applyFill="1" applyBorder="1" applyAlignment="1">
      <alignment horizontal="center" vertical="center"/>
    </xf>
    <xf numFmtId="176" fontId="0" fillId="15" borderId="12" xfId="0" applyNumberFormat="1" applyFill="1" applyBorder="1" applyAlignment="1">
      <alignment horizontal="center" vertical="center"/>
    </xf>
    <xf numFmtId="9" fontId="0" fillId="15" borderId="13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182217</xdr:colOff>
      <xdr:row>4</xdr:row>
      <xdr:rowOff>66261</xdr:rowOff>
    </xdr:from>
    <xdr:to>
      <xdr:col>7</xdr:col>
      <xdr:colOff>480391</xdr:colOff>
      <xdr:row>18</xdr:row>
      <xdr:rowOff>84588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543" y="894522"/>
          <a:ext cx="4422913" cy="2917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190500</xdr:rowOff>
    </xdr:from>
    <xdr:to>
      <xdr:col>10</xdr:col>
      <xdr:colOff>543837</xdr:colOff>
      <xdr:row>14</xdr:row>
      <xdr:rowOff>28903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609600"/>
          <a:ext cx="6535062" cy="2353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tabSelected="1" view="pageBreakPreview" zoomScale="80" zoomScaleNormal="80" zoomScaleSheetLayoutView="80" workbookViewId="0">
      <selection activeCell="E33" sqref="E33"/>
    </sheetView>
  </sheetViews>
  <sheetFormatPr defaultRowHeight="16.5"/>
  <cols>
    <col min="1" max="1" width="3.625" customWidth="1"/>
    <col min="2" max="9" width="17.625" style="1" customWidth="1"/>
    <col min="10" max="10" width="30.75" style="1" bestFit="1" customWidth="1"/>
  </cols>
  <sheetData>
    <row r="1" spans="2:10" ht="17.25" thickBot="1"/>
    <row r="2" spans="2:10">
      <c r="B2" s="78" t="s">
        <v>0</v>
      </c>
      <c r="C2" s="79"/>
      <c r="D2" s="79"/>
      <c r="E2" s="79"/>
      <c r="F2" s="79"/>
      <c r="G2" s="79"/>
      <c r="H2" s="79"/>
      <c r="I2" s="79"/>
      <c r="J2" s="80"/>
    </row>
    <row r="3" spans="2:10">
      <c r="B3" s="81"/>
      <c r="C3" s="82"/>
      <c r="D3" s="82"/>
      <c r="E3" s="82"/>
      <c r="F3" s="82"/>
      <c r="G3" s="82"/>
      <c r="H3" s="82"/>
      <c r="I3" s="82"/>
      <c r="J3" s="83"/>
    </row>
    <row r="4" spans="2:10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4" t="s">
        <v>9</v>
      </c>
    </row>
    <row r="5" spans="2:10">
      <c r="B5" s="84" t="s">
        <v>10</v>
      </c>
      <c r="C5" s="87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10</v>
      </c>
      <c r="I5" s="5" t="s">
        <v>15</v>
      </c>
      <c r="J5" s="6" t="s">
        <v>13</v>
      </c>
    </row>
    <row r="6" spans="2:10">
      <c r="B6" s="84"/>
      <c r="C6" s="87"/>
      <c r="D6" s="5" t="s">
        <v>16</v>
      </c>
      <c r="E6" s="5" t="s">
        <v>13</v>
      </c>
      <c r="F6" s="5" t="s">
        <v>13</v>
      </c>
      <c r="G6" s="5" t="s">
        <v>13</v>
      </c>
      <c r="H6" s="5" t="s">
        <v>17</v>
      </c>
      <c r="I6" s="5" t="s">
        <v>15</v>
      </c>
      <c r="J6" s="6" t="s">
        <v>13</v>
      </c>
    </row>
    <row r="7" spans="2:10">
      <c r="B7" s="84"/>
      <c r="C7" s="87"/>
      <c r="D7" s="5" t="s">
        <v>18</v>
      </c>
      <c r="E7" s="5" t="s">
        <v>13</v>
      </c>
      <c r="F7" s="5" t="s">
        <v>13</v>
      </c>
      <c r="G7" s="5" t="s">
        <v>13</v>
      </c>
      <c r="H7" s="5" t="s">
        <v>10</v>
      </c>
      <c r="I7" s="5" t="s">
        <v>15</v>
      </c>
      <c r="J7" s="6" t="s">
        <v>13</v>
      </c>
    </row>
    <row r="8" spans="2:10">
      <c r="B8" s="84"/>
      <c r="C8" s="87"/>
      <c r="D8" s="5" t="s">
        <v>19</v>
      </c>
      <c r="E8" s="5" t="s">
        <v>14</v>
      </c>
      <c r="F8" s="5" t="s">
        <v>13</v>
      </c>
      <c r="G8" s="5" t="s">
        <v>13</v>
      </c>
      <c r="H8" s="5" t="s">
        <v>10</v>
      </c>
      <c r="I8" s="5" t="s">
        <v>15</v>
      </c>
      <c r="J8" s="6" t="s">
        <v>13</v>
      </c>
    </row>
    <row r="9" spans="2:10" ht="33">
      <c r="B9" s="84"/>
      <c r="C9" s="87" t="s">
        <v>20</v>
      </c>
      <c r="D9" s="87" t="s">
        <v>21</v>
      </c>
      <c r="E9" s="5" t="s">
        <v>22</v>
      </c>
      <c r="F9" s="5" t="s">
        <v>14</v>
      </c>
      <c r="G9" s="5" t="s">
        <v>14</v>
      </c>
      <c r="H9" s="5" t="s">
        <v>23</v>
      </c>
      <c r="I9" s="5" t="s">
        <v>15</v>
      </c>
      <c r="J9" s="7" t="s">
        <v>24</v>
      </c>
    </row>
    <row r="10" spans="2:10">
      <c r="B10" s="84"/>
      <c r="C10" s="87"/>
      <c r="D10" s="87"/>
      <c r="E10" s="5" t="s">
        <v>25</v>
      </c>
      <c r="F10" s="5" t="s">
        <v>14</v>
      </c>
      <c r="G10" s="5" t="s">
        <v>13</v>
      </c>
      <c r="H10" s="5" t="s">
        <v>26</v>
      </c>
      <c r="I10" s="5" t="s">
        <v>15</v>
      </c>
      <c r="J10" s="6" t="s">
        <v>27</v>
      </c>
    </row>
    <row r="11" spans="2:10">
      <c r="B11" s="84"/>
      <c r="C11" s="87"/>
      <c r="D11" s="87"/>
      <c r="E11" s="5" t="s">
        <v>28</v>
      </c>
      <c r="F11" s="5" t="s">
        <v>13</v>
      </c>
      <c r="G11" s="5" t="s">
        <v>14</v>
      </c>
      <c r="H11" s="5" t="s">
        <v>23</v>
      </c>
      <c r="I11" s="5" t="s">
        <v>15</v>
      </c>
      <c r="J11" s="6" t="s">
        <v>29</v>
      </c>
    </row>
    <row r="12" spans="2:10">
      <c r="B12" s="84"/>
      <c r="C12" s="87"/>
      <c r="D12" s="87"/>
      <c r="E12" s="5" t="s">
        <v>30</v>
      </c>
      <c r="F12" s="5" t="s">
        <v>13</v>
      </c>
      <c r="G12" s="5" t="s">
        <v>14</v>
      </c>
      <c r="H12" s="5" t="s">
        <v>26</v>
      </c>
      <c r="I12" s="5" t="s">
        <v>15</v>
      </c>
      <c r="J12" s="6" t="s">
        <v>13</v>
      </c>
    </row>
    <row r="13" spans="2:10">
      <c r="B13" s="84"/>
      <c r="C13" s="87"/>
      <c r="D13" s="87" t="s">
        <v>31</v>
      </c>
      <c r="E13" s="5" t="s">
        <v>32</v>
      </c>
      <c r="F13" s="5" t="s">
        <v>14</v>
      </c>
      <c r="G13" s="5" t="s">
        <v>13</v>
      </c>
      <c r="H13" s="5" t="s">
        <v>26</v>
      </c>
      <c r="I13" s="5" t="s">
        <v>15</v>
      </c>
      <c r="J13" s="6" t="s">
        <v>33</v>
      </c>
    </row>
    <row r="14" spans="2:10">
      <c r="B14" s="84"/>
      <c r="C14" s="87"/>
      <c r="D14" s="87"/>
      <c r="E14" s="5" t="s">
        <v>34</v>
      </c>
      <c r="F14" s="5" t="s">
        <v>13</v>
      </c>
      <c r="G14" s="5" t="s">
        <v>13</v>
      </c>
      <c r="H14" s="5" t="s">
        <v>26</v>
      </c>
      <c r="I14" s="5" t="s">
        <v>15</v>
      </c>
      <c r="J14" s="6" t="s">
        <v>14</v>
      </c>
    </row>
    <row r="15" spans="2:10">
      <c r="B15" s="84"/>
      <c r="C15" s="87"/>
      <c r="D15" s="87" t="s">
        <v>35</v>
      </c>
      <c r="E15" s="5" t="s">
        <v>36</v>
      </c>
      <c r="F15" s="5" t="s">
        <v>14</v>
      </c>
      <c r="G15" s="5" t="s">
        <v>13</v>
      </c>
      <c r="H15" s="5" t="s">
        <v>26</v>
      </c>
      <c r="I15" s="5" t="s">
        <v>15</v>
      </c>
      <c r="J15" s="6" t="s">
        <v>37</v>
      </c>
    </row>
    <row r="16" spans="2:10">
      <c r="B16" s="84"/>
      <c r="C16" s="87"/>
      <c r="D16" s="87"/>
      <c r="E16" s="5" t="s">
        <v>38</v>
      </c>
      <c r="F16" s="5" t="s">
        <v>14</v>
      </c>
      <c r="G16" s="5" t="s">
        <v>14</v>
      </c>
      <c r="H16" s="5" t="s">
        <v>23</v>
      </c>
      <c r="I16" s="5" t="s">
        <v>15</v>
      </c>
      <c r="J16" s="6" t="s">
        <v>13</v>
      </c>
    </row>
    <row r="17" spans="2:10">
      <c r="B17" s="84"/>
      <c r="C17" s="87"/>
      <c r="D17" s="5" t="s">
        <v>39</v>
      </c>
      <c r="E17" s="5" t="s">
        <v>40</v>
      </c>
      <c r="F17" s="5" t="s">
        <v>13</v>
      </c>
      <c r="G17" s="5" t="s">
        <v>14</v>
      </c>
      <c r="H17" s="5" t="s">
        <v>17</v>
      </c>
      <c r="I17" s="5" t="s">
        <v>15</v>
      </c>
      <c r="J17" s="6" t="s">
        <v>41</v>
      </c>
    </row>
    <row r="18" spans="2:10">
      <c r="B18" s="84"/>
      <c r="C18" s="87"/>
      <c r="D18" s="88" t="s">
        <v>42</v>
      </c>
      <c r="E18" s="5" t="s">
        <v>43</v>
      </c>
      <c r="F18" s="5" t="s">
        <v>13</v>
      </c>
      <c r="G18" s="5" t="s">
        <v>14</v>
      </c>
      <c r="H18" s="5" t="s">
        <v>26</v>
      </c>
      <c r="I18" s="5" t="s">
        <v>15</v>
      </c>
      <c r="J18" s="6" t="s">
        <v>13</v>
      </c>
    </row>
    <row r="19" spans="2:10">
      <c r="B19" s="84"/>
      <c r="C19" s="87"/>
      <c r="D19" s="90"/>
      <c r="E19" s="5" t="s">
        <v>44</v>
      </c>
      <c r="F19" s="5" t="s">
        <v>13</v>
      </c>
      <c r="G19" s="5" t="s">
        <v>13</v>
      </c>
      <c r="H19" s="5" t="s">
        <v>26</v>
      </c>
      <c r="I19" s="5" t="s">
        <v>15</v>
      </c>
      <c r="J19" s="6" t="s">
        <v>14</v>
      </c>
    </row>
    <row r="20" spans="2:10">
      <c r="B20" s="85"/>
      <c r="C20" s="88"/>
      <c r="D20" s="91"/>
      <c r="E20" s="8" t="s">
        <v>45</v>
      </c>
      <c r="F20" s="5" t="s">
        <v>14</v>
      </c>
      <c r="G20" s="5" t="s">
        <v>13</v>
      </c>
      <c r="H20" s="5" t="s">
        <v>23</v>
      </c>
      <c r="I20" s="5" t="s">
        <v>15</v>
      </c>
      <c r="J20" s="5" t="s">
        <v>14</v>
      </c>
    </row>
    <row r="21" spans="2:10" ht="17.25" thickBot="1">
      <c r="B21" s="86"/>
      <c r="C21" s="89"/>
      <c r="D21" s="9" t="s">
        <v>46</v>
      </c>
      <c r="E21" s="9" t="s">
        <v>14</v>
      </c>
      <c r="F21" s="9" t="s">
        <v>14</v>
      </c>
      <c r="G21" s="9" t="s">
        <v>14</v>
      </c>
      <c r="H21" s="9" t="s">
        <v>17</v>
      </c>
      <c r="I21" s="9" t="s">
        <v>15</v>
      </c>
      <c r="J21" s="10" t="s">
        <v>14</v>
      </c>
    </row>
  </sheetData>
  <mergeCells count="8">
    <mergeCell ref="B2:J3"/>
    <mergeCell ref="B5:B21"/>
    <mergeCell ref="C5:C8"/>
    <mergeCell ref="C9:C21"/>
    <mergeCell ref="D9:D12"/>
    <mergeCell ref="D13:D14"/>
    <mergeCell ref="D15:D16"/>
    <mergeCell ref="D18:D20"/>
  </mergeCells>
  <phoneticPr fontId="1" type="noConversion"/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view="pageBreakPreview" topLeftCell="D2" zoomScale="85" zoomScaleNormal="100" zoomScaleSheetLayoutView="85" workbookViewId="0">
      <selection activeCell="J25" sqref="J25"/>
    </sheetView>
  </sheetViews>
  <sheetFormatPr defaultRowHeight="16.5"/>
  <cols>
    <col min="1" max="1" width="3.625" customWidth="1"/>
    <col min="2" max="2" width="3.625" style="1" customWidth="1"/>
    <col min="3" max="5" width="17.625" style="1" customWidth="1"/>
    <col min="6" max="7" width="9" style="1"/>
    <col min="8" max="8" width="20.625" style="1" customWidth="1"/>
    <col min="9" max="9" width="16" style="1" bestFit="1" customWidth="1"/>
    <col min="10" max="10" width="13" style="1" bestFit="1" customWidth="1"/>
    <col min="11" max="12" width="9" style="1"/>
  </cols>
  <sheetData>
    <row r="1" spans="2:12" ht="17.25" thickBot="1"/>
    <row r="2" spans="2:12" ht="32.25" thickBot="1">
      <c r="B2" s="92" t="s">
        <v>47</v>
      </c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2:12" ht="17.25">
      <c r="B3" s="95" t="s">
        <v>48</v>
      </c>
      <c r="C3" s="97" t="s">
        <v>49</v>
      </c>
      <c r="D3" s="97"/>
      <c r="E3" s="98"/>
      <c r="F3" s="98"/>
      <c r="G3" s="11"/>
      <c r="H3" s="97" t="s">
        <v>50</v>
      </c>
      <c r="I3" s="97" t="s">
        <v>51</v>
      </c>
      <c r="J3" s="97" t="s">
        <v>52</v>
      </c>
      <c r="K3" s="97" t="s">
        <v>53</v>
      </c>
      <c r="L3" s="100" t="s">
        <v>1</v>
      </c>
    </row>
    <row r="4" spans="2:12" ht="17.25">
      <c r="B4" s="96"/>
      <c r="C4" s="12" t="s">
        <v>54</v>
      </c>
      <c r="D4" s="12" t="s">
        <v>55</v>
      </c>
      <c r="E4" s="12" t="s">
        <v>56</v>
      </c>
      <c r="F4" s="12" t="s">
        <v>57</v>
      </c>
      <c r="G4" s="12" t="s">
        <v>58</v>
      </c>
      <c r="H4" s="99"/>
      <c r="I4" s="99"/>
      <c r="J4" s="99"/>
      <c r="K4" s="99"/>
      <c r="L4" s="101"/>
    </row>
    <row r="5" spans="2:12">
      <c r="B5" s="13">
        <v>1</v>
      </c>
      <c r="C5" s="87" t="s">
        <v>59</v>
      </c>
      <c r="D5" s="5" t="s">
        <v>59</v>
      </c>
      <c r="E5" s="5" t="s">
        <v>13</v>
      </c>
      <c r="F5" s="5" t="s">
        <v>13</v>
      </c>
      <c r="G5" s="5" t="s">
        <v>13</v>
      </c>
      <c r="H5" s="5" t="s">
        <v>60</v>
      </c>
      <c r="I5" s="14" t="s">
        <v>61</v>
      </c>
      <c r="J5" s="5" t="s">
        <v>62</v>
      </c>
      <c r="K5" s="5" t="s">
        <v>63</v>
      </c>
      <c r="L5" s="6" t="s">
        <v>64</v>
      </c>
    </row>
    <row r="6" spans="2:12">
      <c r="B6" s="13">
        <v>2</v>
      </c>
      <c r="C6" s="87"/>
      <c r="D6" s="5" t="s">
        <v>65</v>
      </c>
      <c r="E6" s="5" t="s">
        <v>66</v>
      </c>
      <c r="F6" s="5" t="s">
        <v>13</v>
      </c>
      <c r="G6" s="5" t="s">
        <v>14</v>
      </c>
      <c r="H6" s="5" t="s">
        <v>16</v>
      </c>
      <c r="I6" s="14" t="s">
        <v>67</v>
      </c>
      <c r="J6" s="5" t="s">
        <v>68</v>
      </c>
      <c r="K6" s="5" t="s">
        <v>69</v>
      </c>
      <c r="L6" s="6" t="s">
        <v>64</v>
      </c>
    </row>
    <row r="7" spans="2:12">
      <c r="B7" s="13">
        <v>3</v>
      </c>
      <c r="C7" s="87"/>
      <c r="D7" s="5" t="s">
        <v>18</v>
      </c>
      <c r="E7" s="5" t="s">
        <v>14</v>
      </c>
      <c r="F7" s="5" t="s">
        <v>13</v>
      </c>
      <c r="G7" s="5" t="s">
        <v>13</v>
      </c>
      <c r="H7" s="5" t="s">
        <v>70</v>
      </c>
      <c r="I7" s="14" t="s">
        <v>71</v>
      </c>
      <c r="J7" s="5" t="s">
        <v>72</v>
      </c>
      <c r="K7" s="5" t="s">
        <v>63</v>
      </c>
      <c r="L7" s="6" t="s">
        <v>73</v>
      </c>
    </row>
    <row r="8" spans="2:12">
      <c r="B8" s="13">
        <v>4</v>
      </c>
      <c r="C8" s="87"/>
      <c r="D8" s="5" t="s">
        <v>19</v>
      </c>
      <c r="E8" s="5" t="s">
        <v>13</v>
      </c>
      <c r="F8" s="5" t="s">
        <v>14</v>
      </c>
      <c r="G8" s="5" t="s">
        <v>14</v>
      </c>
      <c r="H8" s="5" t="s">
        <v>19</v>
      </c>
      <c r="I8" s="14" t="s">
        <v>74</v>
      </c>
      <c r="J8" s="5" t="s">
        <v>75</v>
      </c>
      <c r="K8" s="5" t="s">
        <v>63</v>
      </c>
      <c r="L8" s="6" t="s">
        <v>73</v>
      </c>
    </row>
    <row r="9" spans="2:12">
      <c r="B9" s="13">
        <v>5</v>
      </c>
      <c r="C9" s="87" t="s">
        <v>20</v>
      </c>
      <c r="D9" s="5" t="s">
        <v>20</v>
      </c>
      <c r="E9" s="5" t="s">
        <v>13</v>
      </c>
      <c r="F9" s="5" t="s">
        <v>14</v>
      </c>
      <c r="G9" s="5" t="s">
        <v>14</v>
      </c>
      <c r="H9" s="5" t="s">
        <v>20</v>
      </c>
      <c r="I9" s="14" t="s">
        <v>14</v>
      </c>
      <c r="J9" s="5" t="s">
        <v>76</v>
      </c>
      <c r="K9" s="5" t="s">
        <v>69</v>
      </c>
      <c r="L9" s="6" t="s">
        <v>73</v>
      </c>
    </row>
    <row r="10" spans="2:12">
      <c r="B10" s="13">
        <v>6</v>
      </c>
      <c r="C10" s="87"/>
      <c r="D10" s="87" t="s">
        <v>77</v>
      </c>
      <c r="E10" s="5" t="s">
        <v>22</v>
      </c>
      <c r="F10" s="5" t="s">
        <v>14</v>
      </c>
      <c r="G10" s="5" t="s">
        <v>14</v>
      </c>
      <c r="H10" s="5" t="s">
        <v>22</v>
      </c>
      <c r="I10" s="14" t="s">
        <v>14</v>
      </c>
      <c r="J10" s="5" t="s">
        <v>78</v>
      </c>
      <c r="K10" s="5" t="s">
        <v>69</v>
      </c>
      <c r="L10" s="6" t="s">
        <v>73</v>
      </c>
    </row>
    <row r="11" spans="2:12">
      <c r="B11" s="13">
        <v>7</v>
      </c>
      <c r="C11" s="87"/>
      <c r="D11" s="87"/>
      <c r="E11" s="5" t="s">
        <v>79</v>
      </c>
      <c r="F11" s="5" t="s">
        <v>14</v>
      </c>
      <c r="G11" s="5" t="s">
        <v>13</v>
      </c>
      <c r="H11" s="5" t="s">
        <v>79</v>
      </c>
      <c r="I11" s="14" t="s">
        <v>14</v>
      </c>
      <c r="J11" s="75" t="s">
        <v>78</v>
      </c>
      <c r="K11" s="5" t="s">
        <v>69</v>
      </c>
      <c r="L11" s="6" t="s">
        <v>73</v>
      </c>
    </row>
    <row r="12" spans="2:12">
      <c r="B12" s="13">
        <v>8</v>
      </c>
      <c r="C12" s="87"/>
      <c r="D12" s="87"/>
      <c r="E12" s="5" t="s">
        <v>80</v>
      </c>
      <c r="F12" s="5" t="s">
        <v>14</v>
      </c>
      <c r="G12" s="5" t="s">
        <v>14</v>
      </c>
      <c r="H12" s="5" t="s">
        <v>28</v>
      </c>
      <c r="I12" s="14" t="s">
        <v>14</v>
      </c>
      <c r="J12" s="75" t="s">
        <v>78</v>
      </c>
      <c r="K12" s="5" t="s">
        <v>63</v>
      </c>
      <c r="L12" s="6" t="s">
        <v>73</v>
      </c>
    </row>
    <row r="13" spans="2:12">
      <c r="B13" s="13">
        <v>9</v>
      </c>
      <c r="C13" s="87"/>
      <c r="D13" s="87"/>
      <c r="E13" s="5" t="s">
        <v>30</v>
      </c>
      <c r="F13" s="5" t="s">
        <v>14</v>
      </c>
      <c r="G13" s="5" t="s">
        <v>14</v>
      </c>
      <c r="H13" s="5" t="s">
        <v>30</v>
      </c>
      <c r="I13" s="14" t="s">
        <v>81</v>
      </c>
      <c r="J13" s="75" t="s">
        <v>78</v>
      </c>
      <c r="K13" s="5" t="s">
        <v>63</v>
      </c>
      <c r="L13" s="6" t="s">
        <v>73</v>
      </c>
    </row>
    <row r="14" spans="2:12">
      <c r="B14" s="13">
        <v>10</v>
      </c>
      <c r="C14" s="87"/>
      <c r="D14" s="87" t="s">
        <v>82</v>
      </c>
      <c r="E14" s="5" t="s">
        <v>22</v>
      </c>
      <c r="F14" s="5" t="s">
        <v>14</v>
      </c>
      <c r="G14" s="5" t="s">
        <v>14</v>
      </c>
      <c r="H14" s="5" t="s">
        <v>22</v>
      </c>
      <c r="I14" s="14" t="s">
        <v>14</v>
      </c>
      <c r="J14" s="5" t="s">
        <v>83</v>
      </c>
      <c r="K14" s="5" t="s">
        <v>69</v>
      </c>
      <c r="L14" s="6" t="s">
        <v>64</v>
      </c>
    </row>
    <row r="15" spans="2:12">
      <c r="B15" s="13">
        <v>11</v>
      </c>
      <c r="C15" s="87"/>
      <c r="D15" s="87"/>
      <c r="E15" s="5" t="s">
        <v>30</v>
      </c>
      <c r="F15" s="5" t="s">
        <v>14</v>
      </c>
      <c r="G15" s="5" t="s">
        <v>13</v>
      </c>
      <c r="H15" s="5" t="s">
        <v>30</v>
      </c>
      <c r="I15" s="14" t="s">
        <v>81</v>
      </c>
      <c r="J15" s="75" t="s">
        <v>83</v>
      </c>
      <c r="K15" s="5" t="s">
        <v>63</v>
      </c>
      <c r="L15" s="6" t="s">
        <v>64</v>
      </c>
    </row>
    <row r="16" spans="2:12">
      <c r="B16" s="13">
        <v>12</v>
      </c>
      <c r="C16" s="87"/>
      <c r="D16" s="87" t="s">
        <v>84</v>
      </c>
      <c r="E16" s="5" t="s">
        <v>36</v>
      </c>
      <c r="F16" s="5" t="s">
        <v>14</v>
      </c>
      <c r="G16" s="5" t="s">
        <v>14</v>
      </c>
      <c r="H16" s="5" t="s">
        <v>85</v>
      </c>
      <c r="I16" s="14" t="s">
        <v>81</v>
      </c>
      <c r="J16" s="5" t="s">
        <v>86</v>
      </c>
      <c r="K16" s="5" t="s">
        <v>69</v>
      </c>
      <c r="L16" s="6" t="s">
        <v>73</v>
      </c>
    </row>
    <row r="17" spans="2:12">
      <c r="B17" s="13">
        <v>13</v>
      </c>
      <c r="C17" s="87"/>
      <c r="D17" s="87"/>
      <c r="E17" s="5" t="s">
        <v>87</v>
      </c>
      <c r="F17" s="5" t="s">
        <v>14</v>
      </c>
      <c r="G17" s="5" t="s">
        <v>14</v>
      </c>
      <c r="H17" s="5" t="s">
        <v>87</v>
      </c>
      <c r="I17" s="14" t="s">
        <v>88</v>
      </c>
      <c r="J17" s="5" t="s">
        <v>89</v>
      </c>
      <c r="K17" s="5" t="s">
        <v>69</v>
      </c>
      <c r="L17" s="6" t="s">
        <v>73</v>
      </c>
    </row>
    <row r="18" spans="2:12">
      <c r="B18" s="13">
        <v>14</v>
      </c>
      <c r="C18" s="87"/>
      <c r="D18" s="5" t="s">
        <v>39</v>
      </c>
      <c r="E18" s="5" t="s">
        <v>90</v>
      </c>
      <c r="F18" s="5" t="s">
        <v>14</v>
      </c>
      <c r="G18" s="5" t="s">
        <v>13</v>
      </c>
      <c r="H18" s="5" t="s">
        <v>90</v>
      </c>
      <c r="I18" s="14" t="s">
        <v>14</v>
      </c>
      <c r="J18" s="5" t="s">
        <v>91</v>
      </c>
      <c r="K18" s="5" t="s">
        <v>69</v>
      </c>
      <c r="L18" s="6" t="s">
        <v>73</v>
      </c>
    </row>
    <row r="19" spans="2:12">
      <c r="B19" s="13">
        <v>15</v>
      </c>
      <c r="C19" s="87"/>
      <c r="D19" s="87" t="s">
        <v>42</v>
      </c>
      <c r="E19" s="5" t="s">
        <v>43</v>
      </c>
      <c r="F19" s="5" t="s">
        <v>14</v>
      </c>
      <c r="G19" s="5" t="s">
        <v>13</v>
      </c>
      <c r="H19" s="5" t="s">
        <v>43</v>
      </c>
      <c r="I19" s="14" t="s">
        <v>92</v>
      </c>
      <c r="J19" s="5" t="s">
        <v>93</v>
      </c>
      <c r="K19" s="5" t="s">
        <v>69</v>
      </c>
      <c r="L19" s="6" t="s">
        <v>73</v>
      </c>
    </row>
    <row r="20" spans="2:12">
      <c r="B20" s="13">
        <v>16</v>
      </c>
      <c r="C20" s="87"/>
      <c r="D20" s="87"/>
      <c r="E20" s="5" t="s">
        <v>44</v>
      </c>
      <c r="F20" s="5" t="s">
        <v>14</v>
      </c>
      <c r="G20" s="5" t="s">
        <v>14</v>
      </c>
      <c r="H20" s="5" t="s">
        <v>44</v>
      </c>
      <c r="I20" s="14" t="s">
        <v>92</v>
      </c>
      <c r="J20" s="5" t="s">
        <v>94</v>
      </c>
      <c r="K20" s="5" t="s">
        <v>69</v>
      </c>
      <c r="L20" s="6" t="s">
        <v>73</v>
      </c>
    </row>
    <row r="21" spans="2:12" ht="17.25" thickBot="1">
      <c r="B21" s="15">
        <v>17</v>
      </c>
      <c r="C21" s="89"/>
      <c r="D21" s="89"/>
      <c r="E21" s="9" t="s">
        <v>95</v>
      </c>
      <c r="F21" s="9" t="s">
        <v>14</v>
      </c>
      <c r="G21" s="9" t="s">
        <v>14</v>
      </c>
      <c r="H21" s="9" t="s">
        <v>45</v>
      </c>
      <c r="I21" s="16" t="s">
        <v>229</v>
      </c>
      <c r="J21" s="9" t="s">
        <v>96</v>
      </c>
      <c r="K21" s="9" t="s">
        <v>69</v>
      </c>
      <c r="L21" s="10" t="s">
        <v>64</v>
      </c>
    </row>
  </sheetData>
  <mergeCells count="14">
    <mergeCell ref="C5:C8"/>
    <mergeCell ref="C9:C21"/>
    <mergeCell ref="D10:D13"/>
    <mergeCell ref="D14:D15"/>
    <mergeCell ref="D16:D17"/>
    <mergeCell ref="D19:D21"/>
    <mergeCell ref="B2:L2"/>
    <mergeCell ref="B3:B4"/>
    <mergeCell ref="C3:F3"/>
    <mergeCell ref="H3:H4"/>
    <mergeCell ref="I3:I4"/>
    <mergeCell ref="J3:J4"/>
    <mergeCell ref="K3:K4"/>
    <mergeCell ref="L3:L4"/>
  </mergeCells>
  <phoneticPr fontId="1" type="noConversion"/>
  <pageMargins left="0.7" right="0.7" top="0.75" bottom="0.75" header="0.3" footer="0.3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"/>
  <sheetViews>
    <sheetView view="pageBreakPreview" zoomScale="70" zoomScaleNormal="100" zoomScaleSheetLayoutView="70" workbookViewId="0">
      <selection activeCell="H25" sqref="H25"/>
    </sheetView>
  </sheetViews>
  <sheetFormatPr defaultRowHeight="16.5"/>
  <cols>
    <col min="1" max="1" width="3.625" customWidth="1"/>
    <col min="2" max="3" width="12.625" customWidth="1"/>
    <col min="4" max="4" width="3.625" customWidth="1"/>
    <col min="5" max="5" width="5.625" customWidth="1"/>
    <col min="6" max="8" width="12.625" customWidth="1"/>
    <col min="9" max="13" width="10.625" customWidth="1"/>
  </cols>
  <sheetData>
    <row r="2" spans="2:13" ht="31.5">
      <c r="B2" s="102" t="s">
        <v>97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2:13">
      <c r="B3" s="17" t="s">
        <v>98</v>
      </c>
      <c r="C3" s="17" t="s">
        <v>99</v>
      </c>
      <c r="D3" s="17" t="s">
        <v>100</v>
      </c>
      <c r="E3" s="17" t="s">
        <v>101</v>
      </c>
      <c r="F3" s="17" t="s">
        <v>102</v>
      </c>
      <c r="G3" s="17" t="s">
        <v>103</v>
      </c>
      <c r="H3" s="17" t="s">
        <v>104</v>
      </c>
      <c r="I3" s="17" t="s">
        <v>105</v>
      </c>
      <c r="J3" s="17" t="s">
        <v>106</v>
      </c>
      <c r="K3" s="17" t="s">
        <v>107</v>
      </c>
      <c r="L3" s="18" t="s">
        <v>108</v>
      </c>
      <c r="M3" s="17" t="s">
        <v>109</v>
      </c>
    </row>
    <row r="4" spans="2:13">
      <c r="B4" s="87" t="s">
        <v>110</v>
      </c>
      <c r="C4" s="87" t="s">
        <v>35</v>
      </c>
      <c r="D4" s="5">
        <v>1</v>
      </c>
      <c r="E4" s="5">
        <v>1</v>
      </c>
      <c r="F4" s="5" t="s">
        <v>111</v>
      </c>
      <c r="G4" s="5" t="s">
        <v>112</v>
      </c>
      <c r="H4" s="5" t="s">
        <v>113</v>
      </c>
      <c r="I4" s="5">
        <v>300</v>
      </c>
      <c r="J4" s="5"/>
      <c r="K4" s="5"/>
      <c r="L4" s="5" t="s">
        <v>143</v>
      </c>
      <c r="M4" s="5"/>
    </row>
    <row r="5" spans="2:13">
      <c r="B5" s="87"/>
      <c r="C5" s="87"/>
      <c r="D5" s="19">
        <v>2</v>
      </c>
      <c r="E5" s="19">
        <v>1</v>
      </c>
      <c r="F5" s="19" t="s">
        <v>114</v>
      </c>
      <c r="G5" s="19" t="s">
        <v>115</v>
      </c>
      <c r="H5" s="19" t="s">
        <v>113</v>
      </c>
      <c r="I5" s="19">
        <v>100</v>
      </c>
      <c r="J5" s="19"/>
      <c r="K5" s="19" t="s">
        <v>143</v>
      </c>
      <c r="L5" s="19" t="s">
        <v>143</v>
      </c>
      <c r="M5" s="19"/>
    </row>
    <row r="6" spans="2:13">
      <c r="B6" s="87"/>
      <c r="C6" s="87"/>
      <c r="D6" s="5">
        <v>3</v>
      </c>
      <c r="E6" s="5">
        <v>1</v>
      </c>
      <c r="F6" s="5" t="s">
        <v>116</v>
      </c>
      <c r="G6" s="5" t="s">
        <v>117</v>
      </c>
      <c r="H6" s="5" t="s">
        <v>113</v>
      </c>
      <c r="I6" s="5">
        <v>500</v>
      </c>
      <c r="J6" s="5"/>
      <c r="K6" s="5"/>
      <c r="L6" s="5" t="s">
        <v>143</v>
      </c>
      <c r="M6" s="5"/>
    </row>
    <row r="7" spans="2:13">
      <c r="B7" s="87"/>
      <c r="C7" s="87"/>
      <c r="D7" s="5">
        <v>4</v>
      </c>
      <c r="E7" s="5">
        <v>1</v>
      </c>
      <c r="F7" s="5" t="s">
        <v>118</v>
      </c>
      <c r="G7" s="5" t="s">
        <v>119</v>
      </c>
      <c r="H7" s="5" t="s">
        <v>113</v>
      </c>
      <c r="I7" s="5">
        <v>1000</v>
      </c>
      <c r="J7" s="5"/>
      <c r="K7" s="5"/>
      <c r="L7" s="5" t="s">
        <v>143</v>
      </c>
      <c r="M7" s="5"/>
    </row>
    <row r="8" spans="2:13">
      <c r="B8" s="87"/>
      <c r="C8" s="87"/>
      <c r="D8" s="5">
        <v>5</v>
      </c>
      <c r="E8" s="5">
        <v>1</v>
      </c>
      <c r="F8" s="5" t="s">
        <v>120</v>
      </c>
      <c r="G8" s="5" t="s">
        <v>121</v>
      </c>
      <c r="H8" s="5" t="s">
        <v>113</v>
      </c>
      <c r="I8" s="5">
        <v>1000</v>
      </c>
      <c r="J8" s="5"/>
      <c r="K8" s="5"/>
      <c r="L8" s="5"/>
      <c r="M8" s="5"/>
    </row>
    <row r="9" spans="2:13">
      <c r="B9" s="87"/>
      <c r="C9" s="87"/>
      <c r="D9" s="5">
        <v>6</v>
      </c>
      <c r="E9" s="5">
        <v>1</v>
      </c>
      <c r="F9" s="5" t="s">
        <v>122</v>
      </c>
      <c r="G9" s="5" t="s">
        <v>123</v>
      </c>
      <c r="H9" s="5" t="s">
        <v>124</v>
      </c>
      <c r="I9" s="5"/>
      <c r="J9" s="5"/>
      <c r="K9" s="5"/>
      <c r="L9" s="5" t="s">
        <v>143</v>
      </c>
      <c r="M9" s="5"/>
    </row>
  </sheetData>
  <mergeCells count="3">
    <mergeCell ref="B2:M2"/>
    <mergeCell ref="B4:B9"/>
    <mergeCell ref="C4:C9"/>
  </mergeCells>
  <phoneticPr fontId="1" type="noConversion"/>
  <pageMargins left="0.7" right="0.7" top="0.75" bottom="0.75" header="0.3" footer="0.3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7"/>
  <sheetViews>
    <sheetView view="pageBreakPreview" zoomScaleNormal="100" zoomScaleSheetLayoutView="100" workbookViewId="0">
      <selection activeCell="E9" sqref="E9:E17"/>
    </sheetView>
  </sheetViews>
  <sheetFormatPr defaultRowHeight="16.5"/>
  <cols>
    <col min="1" max="1" width="3.625" customWidth="1"/>
    <col min="2" max="3" width="15.625" style="1" customWidth="1"/>
    <col min="4" max="4" width="3.625" style="1" customWidth="1"/>
    <col min="5" max="6" width="15.625" style="1" customWidth="1"/>
    <col min="7" max="8" width="12.625" style="1" customWidth="1"/>
    <col min="9" max="13" width="10.625" style="1" customWidth="1"/>
    <col min="14" max="14" width="14.375" style="1" bestFit="1" customWidth="1"/>
  </cols>
  <sheetData>
    <row r="2" spans="2:14" ht="31.5">
      <c r="B2" s="103" t="s">
        <v>125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</row>
    <row r="3" spans="2:14">
      <c r="B3" s="17" t="s">
        <v>126</v>
      </c>
      <c r="C3" s="17" t="s">
        <v>127</v>
      </c>
      <c r="D3" s="17" t="s">
        <v>48</v>
      </c>
      <c r="E3" s="17" t="s">
        <v>128</v>
      </c>
      <c r="F3" s="17" t="s">
        <v>129</v>
      </c>
      <c r="G3" s="17" t="s">
        <v>130</v>
      </c>
      <c r="H3" s="17" t="s">
        <v>131</v>
      </c>
      <c r="I3" s="17" t="s">
        <v>132</v>
      </c>
      <c r="J3" s="17" t="s">
        <v>133</v>
      </c>
      <c r="K3" s="17" t="s">
        <v>134</v>
      </c>
      <c r="L3" s="18" t="s">
        <v>135</v>
      </c>
      <c r="M3" s="17" t="s">
        <v>136</v>
      </c>
      <c r="N3" s="17" t="s">
        <v>137</v>
      </c>
    </row>
    <row r="4" spans="2:14">
      <c r="B4" s="87" t="s">
        <v>138</v>
      </c>
      <c r="C4" s="87" t="s">
        <v>139</v>
      </c>
      <c r="D4" s="19">
        <v>1</v>
      </c>
      <c r="E4" s="19" t="s">
        <v>140</v>
      </c>
      <c r="F4" s="19" t="s">
        <v>141</v>
      </c>
      <c r="G4" s="19" t="s">
        <v>142</v>
      </c>
      <c r="H4" s="19">
        <v>300</v>
      </c>
      <c r="I4" s="19" t="s">
        <v>66</v>
      </c>
      <c r="J4" s="19" t="s">
        <v>143</v>
      </c>
      <c r="K4" s="19" t="s">
        <v>143</v>
      </c>
      <c r="L4" s="19" t="s">
        <v>143</v>
      </c>
      <c r="M4" s="19"/>
      <c r="N4" s="19"/>
    </row>
    <row r="5" spans="2:14">
      <c r="B5" s="87"/>
      <c r="C5" s="87"/>
      <c r="D5" s="5">
        <v>2</v>
      </c>
      <c r="E5" s="5" t="s">
        <v>144</v>
      </c>
      <c r="F5" s="5" t="s">
        <v>145</v>
      </c>
      <c r="G5" s="5" t="s">
        <v>146</v>
      </c>
      <c r="H5" s="5">
        <v>100</v>
      </c>
      <c r="I5" s="5" t="s">
        <v>147</v>
      </c>
      <c r="J5" s="5"/>
      <c r="K5" s="5" t="s">
        <v>143</v>
      </c>
      <c r="L5" s="5"/>
      <c r="M5" s="5"/>
      <c r="N5" s="5"/>
    </row>
    <row r="6" spans="2:14">
      <c r="B6" s="87"/>
      <c r="C6" s="87"/>
      <c r="D6" s="5">
        <v>3</v>
      </c>
      <c r="E6" s="5" t="s">
        <v>148</v>
      </c>
      <c r="F6" s="5" t="s">
        <v>149</v>
      </c>
      <c r="G6" s="5" t="s">
        <v>146</v>
      </c>
      <c r="H6" s="5">
        <v>100</v>
      </c>
      <c r="I6" s="5" t="s">
        <v>147</v>
      </c>
      <c r="J6" s="5"/>
      <c r="K6" s="5" t="s">
        <v>143</v>
      </c>
      <c r="L6" s="5"/>
      <c r="M6" s="5"/>
      <c r="N6" s="5"/>
    </row>
    <row r="7" spans="2:14">
      <c r="B7" s="87"/>
      <c r="C7" s="87"/>
      <c r="D7" s="5">
        <v>4</v>
      </c>
      <c r="E7" s="5" t="s">
        <v>150</v>
      </c>
      <c r="F7" s="5" t="s">
        <v>151</v>
      </c>
      <c r="G7" s="5" t="s">
        <v>146</v>
      </c>
      <c r="H7" s="5">
        <v>20</v>
      </c>
      <c r="I7" s="5" t="s">
        <v>147</v>
      </c>
      <c r="J7" s="5"/>
      <c r="K7" s="5" t="s">
        <v>143</v>
      </c>
      <c r="L7" s="5"/>
      <c r="M7" s="5"/>
      <c r="N7" s="5"/>
    </row>
    <row r="8" spans="2:14">
      <c r="B8" s="87"/>
      <c r="C8" s="87"/>
      <c r="D8" s="5">
        <v>5</v>
      </c>
      <c r="E8" s="5" t="s">
        <v>152</v>
      </c>
      <c r="F8" s="5" t="s">
        <v>153</v>
      </c>
      <c r="G8" s="5" t="s">
        <v>154</v>
      </c>
      <c r="H8" s="5" t="s">
        <v>147</v>
      </c>
      <c r="I8" s="5" t="s">
        <v>147</v>
      </c>
      <c r="J8" s="5"/>
      <c r="K8" s="5" t="s">
        <v>143</v>
      </c>
      <c r="L8" s="5"/>
      <c r="M8" s="5"/>
      <c r="N8" s="5"/>
    </row>
    <row r="9" spans="2:14">
      <c r="B9" s="88" t="s">
        <v>253</v>
      </c>
      <c r="C9" s="88" t="s">
        <v>252</v>
      </c>
      <c r="D9" s="19">
        <v>1</v>
      </c>
      <c r="E9" s="19" t="s">
        <v>230</v>
      </c>
      <c r="F9" s="19" t="s">
        <v>231</v>
      </c>
      <c r="G9" s="19" t="s">
        <v>146</v>
      </c>
      <c r="H9" s="19">
        <v>100</v>
      </c>
      <c r="I9" s="19" t="s">
        <v>147</v>
      </c>
      <c r="J9" s="19" t="s">
        <v>143</v>
      </c>
      <c r="K9" s="19" t="s">
        <v>143</v>
      </c>
      <c r="L9" s="19" t="s">
        <v>143</v>
      </c>
      <c r="M9" s="19"/>
      <c r="N9" s="19"/>
    </row>
    <row r="10" spans="2:14">
      <c r="B10" s="90"/>
      <c r="C10" s="90"/>
      <c r="D10" s="20">
        <v>2</v>
      </c>
      <c r="E10" s="20" t="s">
        <v>155</v>
      </c>
      <c r="F10" s="20" t="s">
        <v>156</v>
      </c>
      <c r="G10" s="20" t="s">
        <v>146</v>
      </c>
      <c r="H10" s="20">
        <v>300</v>
      </c>
      <c r="I10" s="20" t="s">
        <v>147</v>
      </c>
      <c r="J10" s="20"/>
      <c r="K10" s="20" t="s">
        <v>143</v>
      </c>
      <c r="L10" s="20"/>
      <c r="M10" s="20" t="s">
        <v>157</v>
      </c>
      <c r="N10" s="20" t="s">
        <v>233</v>
      </c>
    </row>
    <row r="11" spans="2:14">
      <c r="B11" s="90"/>
      <c r="C11" s="90"/>
      <c r="D11" s="77">
        <v>3</v>
      </c>
      <c r="E11" s="77" t="s">
        <v>236</v>
      </c>
      <c r="F11" s="77" t="s">
        <v>232</v>
      </c>
      <c r="G11" s="77" t="s">
        <v>142</v>
      </c>
      <c r="H11" s="77">
        <v>10</v>
      </c>
      <c r="I11" s="77"/>
      <c r="J11" s="77"/>
      <c r="K11" s="77" t="s">
        <v>234</v>
      </c>
      <c r="L11" s="77"/>
      <c r="M11" s="77"/>
      <c r="N11" s="77" t="s">
        <v>235</v>
      </c>
    </row>
    <row r="12" spans="2:14">
      <c r="B12" s="90"/>
      <c r="C12" s="90"/>
      <c r="D12" s="77">
        <v>4</v>
      </c>
      <c r="E12" s="5" t="s">
        <v>237</v>
      </c>
      <c r="F12" s="5" t="s">
        <v>238</v>
      </c>
      <c r="G12" s="5" t="s">
        <v>158</v>
      </c>
      <c r="H12" s="5">
        <v>20</v>
      </c>
      <c r="I12" s="5" t="s">
        <v>159</v>
      </c>
      <c r="J12" s="5"/>
      <c r="K12" s="5" t="s">
        <v>160</v>
      </c>
      <c r="L12" s="5"/>
      <c r="M12" s="5"/>
      <c r="N12" s="5"/>
    </row>
    <row r="13" spans="2:14">
      <c r="B13" s="90"/>
      <c r="C13" s="90"/>
      <c r="D13" s="77">
        <v>5</v>
      </c>
      <c r="E13" s="76" t="s">
        <v>239</v>
      </c>
      <c r="F13" s="76" t="s">
        <v>240</v>
      </c>
      <c r="G13" s="76" t="s">
        <v>142</v>
      </c>
      <c r="H13" s="76">
        <v>100</v>
      </c>
      <c r="I13" s="76" t="s">
        <v>241</v>
      </c>
      <c r="J13" s="76"/>
      <c r="K13" s="76" t="s">
        <v>242</v>
      </c>
      <c r="L13" s="76"/>
      <c r="M13" s="76"/>
      <c r="N13" s="76"/>
    </row>
    <row r="14" spans="2:14">
      <c r="B14" s="90"/>
      <c r="C14" s="90"/>
      <c r="D14" s="77">
        <v>6</v>
      </c>
      <c r="E14" s="5" t="s">
        <v>243</v>
      </c>
      <c r="F14" s="5" t="s">
        <v>244</v>
      </c>
      <c r="G14" s="5" t="s">
        <v>158</v>
      </c>
      <c r="H14" s="5">
        <v>10</v>
      </c>
      <c r="I14" s="5" t="s">
        <v>159</v>
      </c>
      <c r="J14" s="5"/>
      <c r="K14" s="5" t="s">
        <v>160</v>
      </c>
      <c r="L14" s="5"/>
      <c r="M14" s="5"/>
      <c r="N14" s="5" t="s">
        <v>245</v>
      </c>
    </row>
    <row r="15" spans="2:14">
      <c r="B15" s="90"/>
      <c r="C15" s="90"/>
      <c r="D15" s="77">
        <v>7</v>
      </c>
      <c r="E15" s="5" t="s">
        <v>246</v>
      </c>
      <c r="F15" s="5" t="s">
        <v>247</v>
      </c>
      <c r="G15" s="5" t="s">
        <v>161</v>
      </c>
      <c r="H15" s="5">
        <v>30</v>
      </c>
      <c r="I15" s="5">
        <v>12</v>
      </c>
      <c r="J15" s="5"/>
      <c r="K15" s="5" t="s">
        <v>143</v>
      </c>
      <c r="L15" s="5"/>
      <c r="M15" s="5"/>
      <c r="N15" s="5"/>
    </row>
    <row r="16" spans="2:14">
      <c r="B16" s="90"/>
      <c r="C16" s="90"/>
      <c r="D16" s="77">
        <v>8</v>
      </c>
      <c r="E16" s="5" t="s">
        <v>249</v>
      </c>
      <c r="F16" s="5" t="s">
        <v>248</v>
      </c>
      <c r="G16" s="5" t="s">
        <v>161</v>
      </c>
      <c r="H16" s="5">
        <v>20</v>
      </c>
      <c r="I16" s="5">
        <v>8</v>
      </c>
      <c r="J16" s="5"/>
      <c r="K16" s="5" t="s">
        <v>160</v>
      </c>
      <c r="L16" s="5"/>
      <c r="M16" s="5"/>
      <c r="N16" s="5"/>
    </row>
    <row r="17" spans="2:14">
      <c r="B17" s="91"/>
      <c r="C17" s="91"/>
      <c r="D17" s="77">
        <v>9</v>
      </c>
      <c r="E17" s="5" t="s">
        <v>250</v>
      </c>
      <c r="F17" s="5" t="s">
        <v>251</v>
      </c>
      <c r="G17" s="5" t="s">
        <v>162</v>
      </c>
      <c r="H17" s="5" t="s">
        <v>147</v>
      </c>
      <c r="I17" s="5" t="s">
        <v>147</v>
      </c>
      <c r="J17" s="5"/>
      <c r="K17" s="5" t="s">
        <v>160</v>
      </c>
      <c r="L17" s="5"/>
      <c r="M17" s="5"/>
      <c r="N17" s="5"/>
    </row>
  </sheetData>
  <mergeCells count="5">
    <mergeCell ref="B2:N2"/>
    <mergeCell ref="B4:B8"/>
    <mergeCell ref="C4:C8"/>
    <mergeCell ref="B9:B17"/>
    <mergeCell ref="C9:C17"/>
  </mergeCells>
  <phoneticPr fontId="1" type="noConversion"/>
  <pageMargins left="0.7" right="0.7" top="0.75" bottom="0.75" header="0.3" footer="0.3"/>
  <pageSetup paperSize="9"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115" zoomScaleNormal="100" zoomScaleSheetLayoutView="115" workbookViewId="0">
      <selection activeCell="G22" sqref="G22"/>
    </sheetView>
  </sheetViews>
  <sheetFormatPr defaultRowHeight="16.5"/>
  <cols>
    <col min="1" max="1" width="3.625" customWidth="1"/>
  </cols>
  <sheetData/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Normal="100" zoomScaleSheetLayoutView="100" workbookViewId="0">
      <selection activeCell="L22" sqref="L22"/>
    </sheetView>
  </sheetViews>
  <sheetFormatPr defaultRowHeight="16.5"/>
  <cols>
    <col min="1" max="1" width="3.625" customWidth="1"/>
  </cols>
  <sheetData/>
  <phoneticPr fontId="1" type="noConversion"/>
  <pageMargins left="0.7" right="0.7" top="0.75" bottom="0.75" header="0.3" footer="0.3"/>
  <pageSetup paperSize="9" scale="89"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opLeftCell="A37" zoomScale="85" zoomScaleNormal="85" workbookViewId="0">
      <selection activeCell="E60" sqref="E60"/>
    </sheetView>
  </sheetViews>
  <sheetFormatPr defaultRowHeight="16.5"/>
  <cols>
    <col min="1" max="1" width="47.25" bestFit="1" customWidth="1"/>
    <col min="2" max="2" width="8.875" style="1"/>
    <col min="3" max="3" width="17.625" style="1" customWidth="1"/>
    <col min="4" max="5" width="11.125" style="1" bestFit="1" customWidth="1"/>
    <col min="6" max="7" width="9" style="1"/>
  </cols>
  <sheetData>
    <row r="1" spans="1:7" ht="17.25">
      <c r="A1" s="46" t="s">
        <v>163</v>
      </c>
      <c r="B1" s="47" t="s">
        <v>53</v>
      </c>
      <c r="C1" s="47" t="s">
        <v>164</v>
      </c>
      <c r="D1" s="48" t="s">
        <v>165</v>
      </c>
      <c r="E1" s="48" t="s">
        <v>166</v>
      </c>
      <c r="F1" s="49" t="s">
        <v>167</v>
      </c>
      <c r="G1" s="50" t="s">
        <v>168</v>
      </c>
    </row>
    <row r="2" spans="1:7">
      <c r="A2" s="51" t="s">
        <v>169</v>
      </c>
      <c r="B2" s="23" t="s">
        <v>63</v>
      </c>
      <c r="C2" s="25" t="str">
        <f t="shared" ref="C2:C11" si="0">IF(G2=0,"Not Started",IF(G2&lt;1,"Progress",IF(G2=1,"Finished")))</f>
        <v>Progress</v>
      </c>
      <c r="D2" s="26">
        <v>45720</v>
      </c>
      <c r="E2" s="26">
        <v>45751</v>
      </c>
      <c r="F2" s="27">
        <f>NETWORKDAYS(D2,E2)</f>
        <v>24</v>
      </c>
      <c r="G2" s="52">
        <f>AVERAGE(G3:G11)</f>
        <v>0.88888888888888884</v>
      </c>
    </row>
    <row r="3" spans="1:7">
      <c r="A3" s="53" t="s">
        <v>170</v>
      </c>
      <c r="B3" s="24" t="s">
        <v>182</v>
      </c>
      <c r="C3" s="28" t="str">
        <f t="shared" si="0"/>
        <v>Finished</v>
      </c>
      <c r="D3" s="29">
        <v>45720</v>
      </c>
      <c r="E3" s="29">
        <v>45741</v>
      </c>
      <c r="F3" s="30">
        <f>NETWORKDAYS(D3,E3)</f>
        <v>16</v>
      </c>
      <c r="G3" s="54">
        <v>1</v>
      </c>
    </row>
    <row r="4" spans="1:7">
      <c r="A4" s="55" t="s">
        <v>171</v>
      </c>
      <c r="B4" s="24" t="s">
        <v>182</v>
      </c>
      <c r="C4" s="28" t="str">
        <f t="shared" si="0"/>
        <v>Finished</v>
      </c>
      <c r="D4" s="29">
        <v>45720</v>
      </c>
      <c r="E4" s="29">
        <v>45741</v>
      </c>
      <c r="F4" s="30">
        <f t="shared" ref="F4:F22" si="1">NETWORKDAYS(D4,E4)</f>
        <v>16</v>
      </c>
      <c r="G4" s="54">
        <v>1</v>
      </c>
    </row>
    <row r="5" spans="1:7">
      <c r="A5" s="55" t="s">
        <v>172</v>
      </c>
      <c r="B5" s="24" t="s">
        <v>182</v>
      </c>
      <c r="C5" s="28" t="str">
        <f t="shared" si="0"/>
        <v>Finished</v>
      </c>
      <c r="D5" s="29">
        <v>45720</v>
      </c>
      <c r="E5" s="29">
        <v>45741</v>
      </c>
      <c r="F5" s="30">
        <f t="shared" si="1"/>
        <v>16</v>
      </c>
      <c r="G5" s="54">
        <v>1</v>
      </c>
    </row>
    <row r="6" spans="1:7">
      <c r="A6" s="21" t="s">
        <v>173</v>
      </c>
      <c r="B6" s="24" t="s">
        <v>182</v>
      </c>
      <c r="C6" s="28" t="str">
        <f t="shared" si="0"/>
        <v>Finished</v>
      </c>
      <c r="D6" s="29">
        <v>45720</v>
      </c>
      <c r="E6" s="29">
        <v>45741</v>
      </c>
      <c r="F6" s="30">
        <f t="shared" si="1"/>
        <v>16</v>
      </c>
      <c r="G6" s="54">
        <v>1</v>
      </c>
    </row>
    <row r="7" spans="1:7">
      <c r="A7" s="22" t="s">
        <v>174</v>
      </c>
      <c r="B7" s="24" t="s">
        <v>182</v>
      </c>
      <c r="C7" s="28" t="str">
        <f t="shared" si="0"/>
        <v>Finished</v>
      </c>
      <c r="D7" s="29">
        <v>45720</v>
      </c>
      <c r="E7" s="29">
        <v>45741</v>
      </c>
      <c r="F7" s="30">
        <f t="shared" si="1"/>
        <v>16</v>
      </c>
      <c r="G7" s="54">
        <v>1</v>
      </c>
    </row>
    <row r="8" spans="1:7">
      <c r="A8" s="22" t="s">
        <v>175</v>
      </c>
      <c r="B8" s="24" t="s">
        <v>182</v>
      </c>
      <c r="C8" s="28" t="str">
        <f t="shared" si="0"/>
        <v>Finished</v>
      </c>
      <c r="D8" s="29">
        <v>45720</v>
      </c>
      <c r="E8" s="29">
        <v>45741</v>
      </c>
      <c r="F8" s="30">
        <f t="shared" si="1"/>
        <v>16</v>
      </c>
      <c r="G8" s="54">
        <v>1</v>
      </c>
    </row>
    <row r="9" spans="1:7">
      <c r="A9" s="22" t="s">
        <v>176</v>
      </c>
      <c r="B9" s="24" t="s">
        <v>182</v>
      </c>
      <c r="C9" s="28" t="str">
        <f t="shared" si="0"/>
        <v>Finished</v>
      </c>
      <c r="D9" s="29">
        <v>45720</v>
      </c>
      <c r="E9" s="29">
        <v>45741</v>
      </c>
      <c r="F9" s="30">
        <f t="shared" si="1"/>
        <v>16</v>
      </c>
      <c r="G9" s="54">
        <v>1</v>
      </c>
    </row>
    <row r="10" spans="1:7">
      <c r="A10" s="56" t="s">
        <v>177</v>
      </c>
      <c r="B10" s="24" t="s">
        <v>182</v>
      </c>
      <c r="C10" s="28" t="str">
        <f t="shared" si="0"/>
        <v>Finished</v>
      </c>
      <c r="D10" s="29">
        <v>45720</v>
      </c>
      <c r="E10" s="29">
        <v>45741</v>
      </c>
      <c r="F10" s="30">
        <f t="shared" si="1"/>
        <v>16</v>
      </c>
      <c r="G10" s="54">
        <v>1</v>
      </c>
    </row>
    <row r="11" spans="1:7">
      <c r="A11" s="56" t="s">
        <v>178</v>
      </c>
      <c r="B11" s="24" t="s">
        <v>182</v>
      </c>
      <c r="C11" s="28" t="str">
        <f t="shared" si="0"/>
        <v>Not Started</v>
      </c>
      <c r="D11" s="29">
        <v>45741</v>
      </c>
      <c r="E11" s="29">
        <v>45751</v>
      </c>
      <c r="F11" s="30">
        <f t="shared" si="1"/>
        <v>9</v>
      </c>
      <c r="G11" s="54">
        <v>0</v>
      </c>
    </row>
    <row r="12" spans="1:7">
      <c r="A12" s="21" t="s">
        <v>179</v>
      </c>
      <c r="B12" s="24" t="s">
        <v>182</v>
      </c>
      <c r="C12" s="28" t="str">
        <f t="shared" ref="C12:C14" si="2">IF(G12=0,"Not Started",IF(G12&lt;1,"Progress",IF(G12=1,"Finished")))</f>
        <v>Not Started</v>
      </c>
      <c r="D12" s="29">
        <v>45741</v>
      </c>
      <c r="E12" s="29">
        <v>45751</v>
      </c>
      <c r="F12" s="30">
        <f t="shared" si="1"/>
        <v>9</v>
      </c>
      <c r="G12" s="54">
        <v>0</v>
      </c>
    </row>
    <row r="13" spans="1:7">
      <c r="A13" s="57" t="s">
        <v>180</v>
      </c>
      <c r="B13" s="24" t="s">
        <v>182</v>
      </c>
      <c r="C13" s="28" t="str">
        <f t="shared" si="2"/>
        <v>Not Started</v>
      </c>
      <c r="D13" s="29">
        <v>45741</v>
      </c>
      <c r="E13" s="29">
        <v>45751</v>
      </c>
      <c r="F13" s="30">
        <f t="shared" si="1"/>
        <v>9</v>
      </c>
      <c r="G13" s="54">
        <v>0</v>
      </c>
    </row>
    <row r="14" spans="1:7">
      <c r="A14" s="57" t="s">
        <v>181</v>
      </c>
      <c r="B14" s="24" t="s">
        <v>182</v>
      </c>
      <c r="C14" s="28" t="str">
        <f t="shared" si="2"/>
        <v>Not Started</v>
      </c>
      <c r="D14" s="29">
        <v>45741</v>
      </c>
      <c r="E14" s="29">
        <v>45751</v>
      </c>
      <c r="F14" s="30">
        <f t="shared" si="1"/>
        <v>9</v>
      </c>
      <c r="G14" s="54">
        <v>0</v>
      </c>
    </row>
    <row r="15" spans="1:7">
      <c r="A15" s="51" t="s">
        <v>183</v>
      </c>
      <c r="B15" s="26" t="s">
        <v>63</v>
      </c>
      <c r="C15" s="38" t="str">
        <f t="shared" ref="C15:C16" si="3">IF(G15=0,"Not Started",IF(G15&lt;1,"In Progress",IF(G15=1,"Finished")))</f>
        <v>Not Started</v>
      </c>
      <c r="D15" s="26">
        <v>44654</v>
      </c>
      <c r="E15" s="26">
        <v>44696</v>
      </c>
      <c r="F15" s="27">
        <f t="shared" si="1"/>
        <v>30</v>
      </c>
      <c r="G15" s="58">
        <f>AVERAGE(G16:G21)</f>
        <v>0</v>
      </c>
    </row>
    <row r="16" spans="1:7">
      <c r="A16" s="59" t="s">
        <v>184</v>
      </c>
      <c r="B16" s="33" t="s">
        <v>189</v>
      </c>
      <c r="C16" s="39" t="str">
        <f t="shared" si="3"/>
        <v>Not Started</v>
      </c>
      <c r="D16" s="34">
        <f>D17</f>
        <v>45752</v>
      </c>
      <c r="E16" s="34">
        <f>E17</f>
        <v>45762</v>
      </c>
      <c r="F16" s="35">
        <f>NETWORKDAYS(D16,E16)</f>
        <v>7</v>
      </c>
      <c r="G16" s="60">
        <f>AVERAGE(G17:G19)</f>
        <v>0</v>
      </c>
    </row>
    <row r="17" spans="1:7">
      <c r="A17" s="31" t="s">
        <v>185</v>
      </c>
      <c r="B17" s="32" t="s">
        <v>190</v>
      </c>
      <c r="C17" s="28" t="str">
        <f t="shared" ref="C17:C37" si="4">IF(G17=0,"Not Started",IF(G17&lt;1,"Progress",IF(G17=1,"Finished")))</f>
        <v>Not Started</v>
      </c>
      <c r="D17" s="36">
        <v>45752</v>
      </c>
      <c r="E17" s="36">
        <v>45762</v>
      </c>
      <c r="F17" s="30">
        <f t="shared" si="1"/>
        <v>7</v>
      </c>
      <c r="G17" s="37">
        <v>0</v>
      </c>
    </row>
    <row r="18" spans="1:7">
      <c r="A18" s="21" t="s">
        <v>186</v>
      </c>
      <c r="B18" s="32" t="s">
        <v>190</v>
      </c>
      <c r="C18" s="28" t="str">
        <f t="shared" si="4"/>
        <v>Not Started</v>
      </c>
      <c r="D18" s="36">
        <v>45752</v>
      </c>
      <c r="E18" s="36">
        <v>45762</v>
      </c>
      <c r="F18" s="30">
        <f t="shared" si="1"/>
        <v>7</v>
      </c>
      <c r="G18" s="37">
        <v>0</v>
      </c>
    </row>
    <row r="19" spans="1:7">
      <c r="A19" s="21" t="s">
        <v>191</v>
      </c>
      <c r="B19" s="32" t="s">
        <v>190</v>
      </c>
      <c r="C19" s="28" t="str">
        <f t="shared" si="4"/>
        <v>Not Started</v>
      </c>
      <c r="D19" s="36">
        <v>45752</v>
      </c>
      <c r="E19" s="36">
        <v>45762</v>
      </c>
      <c r="F19" s="30">
        <f t="shared" si="1"/>
        <v>7</v>
      </c>
      <c r="G19" s="37">
        <v>0</v>
      </c>
    </row>
    <row r="20" spans="1:7">
      <c r="A20" s="21" t="s">
        <v>187</v>
      </c>
      <c r="B20" s="32" t="s">
        <v>190</v>
      </c>
      <c r="C20" s="28" t="str">
        <f t="shared" si="4"/>
        <v>Not Started</v>
      </c>
      <c r="D20" s="36">
        <v>45752</v>
      </c>
      <c r="E20" s="36">
        <v>45762</v>
      </c>
      <c r="F20" s="30">
        <f t="shared" si="1"/>
        <v>7</v>
      </c>
      <c r="G20" s="37">
        <v>0</v>
      </c>
    </row>
    <row r="21" spans="1:7">
      <c r="A21" s="21" t="s">
        <v>188</v>
      </c>
      <c r="B21" s="32" t="s">
        <v>190</v>
      </c>
      <c r="C21" s="28" t="str">
        <f t="shared" si="4"/>
        <v>Not Started</v>
      </c>
      <c r="D21" s="36">
        <v>45752</v>
      </c>
      <c r="E21" s="36">
        <v>45762</v>
      </c>
      <c r="F21" s="30">
        <f t="shared" si="1"/>
        <v>7</v>
      </c>
      <c r="G21" s="37">
        <v>0</v>
      </c>
    </row>
    <row r="22" spans="1:7">
      <c r="A22" s="21" t="s">
        <v>194</v>
      </c>
      <c r="B22" s="32" t="s">
        <v>190</v>
      </c>
      <c r="C22" s="28" t="str">
        <f t="shared" si="4"/>
        <v>Not Started</v>
      </c>
      <c r="D22" s="36">
        <v>45752</v>
      </c>
      <c r="E22" s="36">
        <v>45762</v>
      </c>
      <c r="F22" s="30">
        <f t="shared" si="1"/>
        <v>7</v>
      </c>
      <c r="G22" s="37">
        <v>0</v>
      </c>
    </row>
    <row r="23" spans="1:7">
      <c r="A23" s="59" t="s">
        <v>192</v>
      </c>
      <c r="B23" s="33" t="s">
        <v>189</v>
      </c>
      <c r="C23" s="39" t="str">
        <f t="shared" ref="C23" si="5">IF(G23=0,"Not Started",IF(G23&lt;1,"In Progress",IF(G23=1,"Finished")))</f>
        <v>Not Started</v>
      </c>
      <c r="D23" s="34">
        <f>D25</f>
        <v>45762</v>
      </c>
      <c r="E23" s="34">
        <f>E34</f>
        <v>45786</v>
      </c>
      <c r="F23" s="35">
        <f>NETWORKDAYS(D23,E23)</f>
        <v>19</v>
      </c>
      <c r="G23" s="60">
        <f>AVERAGE(G25:G26)</f>
        <v>0</v>
      </c>
    </row>
    <row r="24" spans="1:7">
      <c r="A24" s="31" t="s">
        <v>193</v>
      </c>
      <c r="B24" s="32" t="s">
        <v>190</v>
      </c>
      <c r="C24" s="28" t="str">
        <f>IF(G25=0,"Not Started",IF(G25&lt;1,"Progress",IF(G25=1,"Finished")))</f>
        <v>Not Started</v>
      </c>
      <c r="D24" s="36">
        <v>45752</v>
      </c>
      <c r="E24" s="36">
        <v>45760</v>
      </c>
      <c r="F24" s="30">
        <f>NETWORKDAYS(D25,E25)</f>
        <v>19</v>
      </c>
      <c r="G24" s="37">
        <v>0</v>
      </c>
    </row>
    <row r="25" spans="1:7">
      <c r="A25" s="31" t="s">
        <v>77</v>
      </c>
      <c r="B25" s="32" t="s">
        <v>190</v>
      </c>
      <c r="C25" s="28" t="str">
        <f t="shared" si="4"/>
        <v>Not Started</v>
      </c>
      <c r="D25" s="36">
        <v>45762</v>
      </c>
      <c r="E25" s="36">
        <v>45786</v>
      </c>
      <c r="F25" s="30">
        <f t="shared" ref="F25:F37" si="6">NETWORKDAYS(D25,E25)</f>
        <v>19</v>
      </c>
      <c r="G25" s="37">
        <v>0</v>
      </c>
    </row>
    <row r="26" spans="1:7">
      <c r="A26" s="61" t="s">
        <v>195</v>
      </c>
      <c r="B26" s="32" t="s">
        <v>190</v>
      </c>
      <c r="C26" s="28" t="str">
        <f t="shared" si="4"/>
        <v>Not Started</v>
      </c>
      <c r="D26" s="36">
        <v>45762</v>
      </c>
      <c r="E26" s="36">
        <v>45786</v>
      </c>
      <c r="F26" s="30">
        <f t="shared" si="6"/>
        <v>19</v>
      </c>
      <c r="G26" s="37">
        <v>0</v>
      </c>
    </row>
    <row r="27" spans="1:7">
      <c r="A27" s="62" t="s">
        <v>199</v>
      </c>
      <c r="B27" s="32" t="s">
        <v>190</v>
      </c>
      <c r="C27" s="28" t="str">
        <f t="shared" si="4"/>
        <v>Not Started</v>
      </c>
      <c r="D27" s="36">
        <v>45762</v>
      </c>
      <c r="E27" s="36">
        <v>45786</v>
      </c>
      <c r="F27" s="30">
        <f t="shared" si="6"/>
        <v>19</v>
      </c>
      <c r="G27" s="37">
        <v>0</v>
      </c>
    </row>
    <row r="28" spans="1:7">
      <c r="A28" s="61" t="s">
        <v>196</v>
      </c>
      <c r="B28" s="32" t="s">
        <v>190</v>
      </c>
      <c r="C28" s="28" t="str">
        <f t="shared" si="4"/>
        <v>Not Started</v>
      </c>
      <c r="D28" s="36">
        <v>45762</v>
      </c>
      <c r="E28" s="36">
        <v>45786</v>
      </c>
      <c r="F28" s="30">
        <f t="shared" si="6"/>
        <v>19</v>
      </c>
      <c r="G28" s="37">
        <v>0</v>
      </c>
    </row>
    <row r="29" spans="1:7">
      <c r="A29" s="62" t="s">
        <v>212</v>
      </c>
      <c r="B29" s="32" t="s">
        <v>190</v>
      </c>
      <c r="C29" s="28" t="str">
        <f t="shared" ref="C29:C31" si="7">IF(G29=0,"Not Started",IF(G29&lt;1,"Progress",IF(G29=1,"Finished")))</f>
        <v>Not Started</v>
      </c>
      <c r="D29" s="36">
        <v>45762</v>
      </c>
      <c r="E29" s="36">
        <v>45786</v>
      </c>
      <c r="F29" s="30">
        <f t="shared" ref="F29:F31" si="8">NETWORKDAYS(D29,E29)</f>
        <v>19</v>
      </c>
      <c r="G29" s="37">
        <v>0</v>
      </c>
    </row>
    <row r="30" spans="1:7">
      <c r="A30" s="62" t="s">
        <v>228</v>
      </c>
      <c r="B30" s="32" t="s">
        <v>190</v>
      </c>
      <c r="C30" s="28" t="str">
        <f t="shared" si="7"/>
        <v>Not Started</v>
      </c>
      <c r="D30" s="36">
        <v>45762</v>
      </c>
      <c r="E30" s="36">
        <v>45786</v>
      </c>
      <c r="F30" s="30">
        <f t="shared" si="8"/>
        <v>19</v>
      </c>
      <c r="G30" s="37">
        <v>0</v>
      </c>
    </row>
    <row r="31" spans="1:7">
      <c r="A31" s="62" t="s">
        <v>213</v>
      </c>
      <c r="B31" s="32" t="s">
        <v>190</v>
      </c>
      <c r="C31" s="28" t="str">
        <f t="shared" si="7"/>
        <v>Not Started</v>
      </c>
      <c r="D31" s="36">
        <v>45762</v>
      </c>
      <c r="E31" s="36">
        <v>45786</v>
      </c>
      <c r="F31" s="30">
        <f t="shared" si="8"/>
        <v>19</v>
      </c>
      <c r="G31" s="37">
        <v>0</v>
      </c>
    </row>
    <row r="32" spans="1:7">
      <c r="A32" s="62" t="s">
        <v>197</v>
      </c>
      <c r="B32" s="32" t="s">
        <v>190</v>
      </c>
      <c r="C32" s="28" t="str">
        <f t="shared" si="4"/>
        <v>Not Started</v>
      </c>
      <c r="D32" s="36">
        <v>45762</v>
      </c>
      <c r="E32" s="36">
        <v>45786</v>
      </c>
      <c r="F32" s="30">
        <f t="shared" si="6"/>
        <v>19</v>
      </c>
      <c r="G32" s="37">
        <v>0</v>
      </c>
    </row>
    <row r="33" spans="1:7">
      <c r="A33" s="62" t="s">
        <v>198</v>
      </c>
      <c r="B33" s="32" t="s">
        <v>190</v>
      </c>
      <c r="C33" s="28" t="str">
        <f t="shared" si="4"/>
        <v>Not Started</v>
      </c>
      <c r="D33" s="36">
        <v>45762</v>
      </c>
      <c r="E33" s="36">
        <v>45786</v>
      </c>
      <c r="F33" s="30">
        <f t="shared" si="6"/>
        <v>19</v>
      </c>
      <c r="G33" s="37">
        <v>0</v>
      </c>
    </row>
    <row r="34" spans="1:7">
      <c r="A34" s="62" t="s">
        <v>200</v>
      </c>
      <c r="B34" s="32" t="s">
        <v>190</v>
      </c>
      <c r="C34" s="28" t="str">
        <f t="shared" si="4"/>
        <v>Not Started</v>
      </c>
      <c r="D34" s="36">
        <v>45762</v>
      </c>
      <c r="E34" s="36">
        <v>45786</v>
      </c>
      <c r="F34" s="30">
        <f t="shared" si="6"/>
        <v>19</v>
      </c>
      <c r="G34" s="37">
        <v>0</v>
      </c>
    </row>
    <row r="35" spans="1:7">
      <c r="A35" s="62" t="s">
        <v>201</v>
      </c>
      <c r="B35" s="32" t="s">
        <v>190</v>
      </c>
      <c r="C35" s="28" t="str">
        <f t="shared" si="4"/>
        <v>Not Started</v>
      </c>
      <c r="D35" s="36">
        <v>45762</v>
      </c>
      <c r="E35" s="36">
        <v>45786</v>
      </c>
      <c r="F35" s="30">
        <f t="shared" si="6"/>
        <v>19</v>
      </c>
      <c r="G35" s="37">
        <v>0</v>
      </c>
    </row>
    <row r="36" spans="1:7">
      <c r="A36" s="63" t="s">
        <v>202</v>
      </c>
      <c r="B36" s="32" t="s">
        <v>190</v>
      </c>
      <c r="C36" s="28" t="str">
        <f t="shared" si="4"/>
        <v>Not Started</v>
      </c>
      <c r="D36" s="36">
        <v>45762</v>
      </c>
      <c r="E36" s="36">
        <v>45786</v>
      </c>
      <c r="F36" s="30">
        <f t="shared" si="6"/>
        <v>19</v>
      </c>
      <c r="G36" s="37">
        <v>0</v>
      </c>
    </row>
    <row r="37" spans="1:7">
      <c r="A37" s="62" t="s">
        <v>203</v>
      </c>
      <c r="B37" s="32" t="s">
        <v>190</v>
      </c>
      <c r="C37" s="28" t="str">
        <f t="shared" si="4"/>
        <v>Not Started</v>
      </c>
      <c r="D37" s="36">
        <v>45762</v>
      </c>
      <c r="E37" s="36">
        <v>45786</v>
      </c>
      <c r="F37" s="30">
        <f t="shared" si="6"/>
        <v>19</v>
      </c>
      <c r="G37" s="37">
        <v>0</v>
      </c>
    </row>
    <row r="38" spans="1:7">
      <c r="A38" s="64" t="s">
        <v>204</v>
      </c>
      <c r="B38" s="32" t="s">
        <v>190</v>
      </c>
      <c r="C38" s="28" t="str">
        <f t="shared" ref="C38:C41" si="9">IF(G38=0,"Not Started",IF(G38&lt;1,"Progress",IF(G38=1,"Finished")))</f>
        <v>Not Started</v>
      </c>
      <c r="D38" s="36">
        <v>45786</v>
      </c>
      <c r="E38" s="36">
        <v>45800</v>
      </c>
      <c r="F38" s="30">
        <f t="shared" ref="F38:F41" si="10">NETWORKDAYS(D38,E38)</f>
        <v>11</v>
      </c>
      <c r="G38" s="37">
        <v>0</v>
      </c>
    </row>
    <row r="39" spans="1:7">
      <c r="A39" s="62" t="s">
        <v>205</v>
      </c>
      <c r="B39" s="32" t="s">
        <v>190</v>
      </c>
      <c r="C39" s="28" t="str">
        <f t="shared" si="9"/>
        <v>Not Started</v>
      </c>
      <c r="D39" s="36">
        <v>45786</v>
      </c>
      <c r="E39" s="36">
        <v>45800</v>
      </c>
      <c r="F39" s="30">
        <f t="shared" si="10"/>
        <v>11</v>
      </c>
      <c r="G39" s="37">
        <v>0</v>
      </c>
    </row>
    <row r="40" spans="1:7">
      <c r="A40" s="62" t="s">
        <v>206</v>
      </c>
      <c r="B40" s="32" t="s">
        <v>190</v>
      </c>
      <c r="C40" s="28" t="str">
        <f t="shared" si="9"/>
        <v>Not Started</v>
      </c>
      <c r="D40" s="36">
        <v>45786</v>
      </c>
      <c r="E40" s="36">
        <v>45800</v>
      </c>
      <c r="F40" s="30">
        <f t="shared" si="10"/>
        <v>11</v>
      </c>
      <c r="G40" s="37">
        <v>0</v>
      </c>
    </row>
    <row r="41" spans="1:7">
      <c r="A41" s="62" t="s">
        <v>207</v>
      </c>
      <c r="B41" s="32" t="s">
        <v>190</v>
      </c>
      <c r="C41" s="28" t="str">
        <f t="shared" si="9"/>
        <v>Not Started</v>
      </c>
      <c r="D41" s="36">
        <v>45786</v>
      </c>
      <c r="E41" s="36">
        <v>45800</v>
      </c>
      <c r="F41" s="30">
        <f t="shared" si="10"/>
        <v>11</v>
      </c>
      <c r="G41" s="37">
        <v>0</v>
      </c>
    </row>
    <row r="42" spans="1:7">
      <c r="A42" s="62" t="s">
        <v>222</v>
      </c>
      <c r="B42" s="32" t="s">
        <v>190</v>
      </c>
      <c r="C42" s="28" t="str">
        <f t="shared" ref="C42:C43" si="11">IF(G42=0,"Not Started",IF(G42&lt;1,"Progress",IF(G42=1,"Finished")))</f>
        <v>Not Started</v>
      </c>
      <c r="D42" s="36">
        <v>45786</v>
      </c>
      <c r="E42" s="36">
        <v>45800</v>
      </c>
      <c r="F42" s="30">
        <f t="shared" ref="F42:F43" si="12">NETWORKDAYS(D42,E42)</f>
        <v>11</v>
      </c>
      <c r="G42" s="37">
        <v>0</v>
      </c>
    </row>
    <row r="43" spans="1:7">
      <c r="A43" s="62" t="s">
        <v>223</v>
      </c>
      <c r="B43" s="32" t="s">
        <v>190</v>
      </c>
      <c r="C43" s="28" t="str">
        <f t="shared" si="11"/>
        <v>Not Started</v>
      </c>
      <c r="D43" s="36">
        <v>45786</v>
      </c>
      <c r="E43" s="36">
        <v>45800</v>
      </c>
      <c r="F43" s="30">
        <f t="shared" si="12"/>
        <v>11</v>
      </c>
      <c r="G43" s="37">
        <v>0</v>
      </c>
    </row>
    <row r="44" spans="1:7">
      <c r="A44" s="64" t="s">
        <v>208</v>
      </c>
      <c r="B44" s="32" t="s">
        <v>190</v>
      </c>
      <c r="C44" s="28" t="str">
        <f t="shared" ref="C44:C59" si="13">IF(G44=0,"Not Started",IF(G44&lt;1,"Progress",IF(G44=1,"Finished")))</f>
        <v>Not Started</v>
      </c>
      <c r="D44" s="36">
        <v>45796</v>
      </c>
      <c r="E44" s="36">
        <v>45803</v>
      </c>
      <c r="F44" s="30">
        <f t="shared" ref="F44:F51" si="14">NETWORKDAYS(D44,E44)</f>
        <v>6</v>
      </c>
      <c r="G44" s="37">
        <v>0</v>
      </c>
    </row>
    <row r="45" spans="1:7">
      <c r="A45" s="62" t="s">
        <v>210</v>
      </c>
      <c r="B45" s="32" t="s">
        <v>190</v>
      </c>
      <c r="C45" s="28" t="str">
        <f t="shared" si="13"/>
        <v>Not Started</v>
      </c>
      <c r="D45" s="36">
        <v>45796</v>
      </c>
      <c r="E45" s="36">
        <v>45803</v>
      </c>
      <c r="F45" s="30">
        <f t="shared" si="14"/>
        <v>6</v>
      </c>
      <c r="G45" s="37">
        <v>0</v>
      </c>
    </row>
    <row r="46" spans="1:7">
      <c r="A46" s="62" t="s">
        <v>211</v>
      </c>
      <c r="B46" s="32" t="s">
        <v>190</v>
      </c>
      <c r="C46" s="28" t="str">
        <f t="shared" si="13"/>
        <v>Not Started</v>
      </c>
      <c r="D46" s="36">
        <v>45796</v>
      </c>
      <c r="E46" s="36">
        <v>45803</v>
      </c>
      <c r="F46" s="30">
        <f t="shared" si="14"/>
        <v>6</v>
      </c>
      <c r="G46" s="37">
        <v>0</v>
      </c>
    </row>
    <row r="47" spans="1:7">
      <c r="A47" s="62" t="s">
        <v>214</v>
      </c>
      <c r="B47" s="32" t="s">
        <v>190</v>
      </c>
      <c r="C47" s="28" t="str">
        <f t="shared" si="13"/>
        <v>Not Started</v>
      </c>
      <c r="D47" s="36">
        <v>45796</v>
      </c>
      <c r="E47" s="36">
        <v>45803</v>
      </c>
      <c r="F47" s="30">
        <f t="shared" si="14"/>
        <v>6</v>
      </c>
      <c r="G47" s="37">
        <v>0</v>
      </c>
    </row>
    <row r="48" spans="1:7">
      <c r="A48" s="62" t="s">
        <v>215</v>
      </c>
      <c r="B48" s="32" t="s">
        <v>190</v>
      </c>
      <c r="C48" s="28" t="str">
        <f t="shared" si="13"/>
        <v>Not Started</v>
      </c>
      <c r="D48" s="36">
        <v>45796</v>
      </c>
      <c r="E48" s="36">
        <v>45803</v>
      </c>
      <c r="F48" s="30">
        <f t="shared" si="14"/>
        <v>6</v>
      </c>
      <c r="G48" s="37">
        <v>0</v>
      </c>
    </row>
    <row r="49" spans="1:7">
      <c r="A49" s="64" t="s">
        <v>209</v>
      </c>
      <c r="B49" s="32" t="s">
        <v>190</v>
      </c>
      <c r="C49" s="28" t="str">
        <f t="shared" si="13"/>
        <v>Not Started</v>
      </c>
      <c r="D49" s="36">
        <v>45803</v>
      </c>
      <c r="E49" s="36">
        <v>45807</v>
      </c>
      <c r="F49" s="30">
        <f t="shared" si="14"/>
        <v>5</v>
      </c>
      <c r="G49" s="37">
        <v>0</v>
      </c>
    </row>
    <row r="50" spans="1:7">
      <c r="A50" s="62" t="s">
        <v>216</v>
      </c>
      <c r="B50" s="32" t="s">
        <v>190</v>
      </c>
      <c r="C50" s="28" t="str">
        <f t="shared" si="13"/>
        <v>Not Started</v>
      </c>
      <c r="D50" s="36">
        <v>45803</v>
      </c>
      <c r="E50" s="36">
        <v>45807</v>
      </c>
      <c r="F50" s="30">
        <f t="shared" si="14"/>
        <v>5</v>
      </c>
      <c r="G50" s="37">
        <v>0</v>
      </c>
    </row>
    <row r="51" spans="1:7">
      <c r="A51" s="62" t="s">
        <v>217</v>
      </c>
      <c r="B51" s="32" t="s">
        <v>190</v>
      </c>
      <c r="C51" s="28" t="str">
        <f t="shared" si="13"/>
        <v>Not Started</v>
      </c>
      <c r="D51" s="36">
        <v>45803</v>
      </c>
      <c r="E51" s="36">
        <v>45807</v>
      </c>
      <c r="F51" s="30">
        <f t="shared" si="14"/>
        <v>5</v>
      </c>
      <c r="G51" s="37">
        <v>0</v>
      </c>
    </row>
    <row r="52" spans="1:7">
      <c r="A52" s="64" t="s">
        <v>224</v>
      </c>
      <c r="B52" s="32" t="s">
        <v>190</v>
      </c>
      <c r="C52" s="28" t="str">
        <f t="shared" si="13"/>
        <v>Not Started</v>
      </c>
      <c r="D52" s="36">
        <v>45796</v>
      </c>
      <c r="E52" s="36">
        <v>45807</v>
      </c>
      <c r="F52" s="30">
        <f t="shared" ref="F52:F56" si="15">NETWORKDAYS(D52,E52)</f>
        <v>10</v>
      </c>
      <c r="G52" s="37">
        <v>0</v>
      </c>
    </row>
    <row r="53" spans="1:7">
      <c r="A53" s="62" t="s">
        <v>225</v>
      </c>
      <c r="B53" s="32" t="s">
        <v>190</v>
      </c>
      <c r="C53" s="28" t="str">
        <f t="shared" si="13"/>
        <v>Not Started</v>
      </c>
      <c r="D53" s="36">
        <v>45796</v>
      </c>
      <c r="E53" s="36">
        <v>45807</v>
      </c>
      <c r="F53" s="30">
        <f t="shared" si="15"/>
        <v>10</v>
      </c>
      <c r="G53" s="37">
        <v>0</v>
      </c>
    </row>
    <row r="54" spans="1:7">
      <c r="A54" s="62" t="s">
        <v>226</v>
      </c>
      <c r="B54" s="32" t="s">
        <v>190</v>
      </c>
      <c r="C54" s="28" t="str">
        <f t="shared" si="13"/>
        <v>Not Started</v>
      </c>
      <c r="D54" s="36">
        <v>45796</v>
      </c>
      <c r="E54" s="36">
        <v>45807</v>
      </c>
      <c r="F54" s="30">
        <f t="shared" si="15"/>
        <v>10</v>
      </c>
      <c r="G54" s="37">
        <v>0</v>
      </c>
    </row>
    <row r="55" spans="1:7">
      <c r="A55" s="62" t="s">
        <v>227</v>
      </c>
      <c r="B55" s="32" t="s">
        <v>190</v>
      </c>
      <c r="C55" s="28" t="str">
        <f t="shared" si="13"/>
        <v>Not Started</v>
      </c>
      <c r="D55" s="36">
        <v>45796</v>
      </c>
      <c r="E55" s="36">
        <v>45807</v>
      </c>
      <c r="F55" s="30">
        <f t="shared" si="15"/>
        <v>10</v>
      </c>
      <c r="G55" s="37">
        <v>0</v>
      </c>
    </row>
    <row r="56" spans="1:7">
      <c r="A56" s="65" t="s">
        <v>218</v>
      </c>
      <c r="B56" s="32" t="s">
        <v>190</v>
      </c>
      <c r="C56" s="28" t="str">
        <f t="shared" si="13"/>
        <v>Not Started</v>
      </c>
      <c r="D56" s="36">
        <v>45752</v>
      </c>
      <c r="E56" s="36">
        <v>45762</v>
      </c>
      <c r="F56" s="30">
        <f t="shared" si="15"/>
        <v>7</v>
      </c>
      <c r="G56" s="37">
        <v>0</v>
      </c>
    </row>
    <row r="57" spans="1:7">
      <c r="A57" s="66" t="s">
        <v>219</v>
      </c>
      <c r="B57" s="40" t="s">
        <v>63</v>
      </c>
      <c r="C57" s="41" t="str">
        <f t="shared" si="13"/>
        <v>Not Started</v>
      </c>
      <c r="D57" s="42">
        <v>45810</v>
      </c>
      <c r="E57" s="42">
        <v>45814</v>
      </c>
      <c r="F57" s="40">
        <f t="shared" ref="F57:F59" si="16">NETWORKDAYS(D57,E57)</f>
        <v>5</v>
      </c>
      <c r="G57" s="67">
        <v>0</v>
      </c>
    </row>
    <row r="58" spans="1:7">
      <c r="A58" s="68" t="s">
        <v>220</v>
      </c>
      <c r="B58" s="43" t="s">
        <v>63</v>
      </c>
      <c r="C58" s="44" t="str">
        <f t="shared" si="13"/>
        <v>Not Started</v>
      </c>
      <c r="D58" s="45">
        <v>45815</v>
      </c>
      <c r="E58" s="45">
        <v>45821</v>
      </c>
      <c r="F58" s="43">
        <f t="shared" si="16"/>
        <v>5</v>
      </c>
      <c r="G58" s="69">
        <v>0</v>
      </c>
    </row>
    <row r="59" spans="1:7" ht="17.25" thickBot="1">
      <c r="A59" s="70" t="s">
        <v>221</v>
      </c>
      <c r="B59" s="71" t="s">
        <v>63</v>
      </c>
      <c r="C59" s="72" t="str">
        <f t="shared" si="13"/>
        <v>Not Started</v>
      </c>
      <c r="D59" s="73">
        <v>45821</v>
      </c>
      <c r="E59" s="73">
        <v>45831</v>
      </c>
      <c r="F59" s="71">
        <f t="shared" si="16"/>
        <v>7</v>
      </c>
      <c r="G59" s="74">
        <v>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6</vt:i4>
      </vt:variant>
    </vt:vector>
  </HeadingPairs>
  <TitlesOfParts>
    <vt:vector size="13" baseType="lpstr">
      <vt:lpstr>메뉴구조도</vt:lpstr>
      <vt:lpstr>프로그램 명세서</vt:lpstr>
      <vt:lpstr>컬렉션 정의서(NoSQL)</vt:lpstr>
      <vt:lpstr>테이블 명세서(RDBMS)</vt:lpstr>
      <vt:lpstr>논리 데이터 모델링(ERD)</vt:lpstr>
      <vt:lpstr>물리 데이터 모델링(ERD)</vt:lpstr>
      <vt:lpstr>WBS</vt:lpstr>
      <vt:lpstr>'논리 데이터 모델링(ERD)'!Print_Area</vt:lpstr>
      <vt:lpstr>메뉴구조도!Print_Area</vt:lpstr>
      <vt:lpstr>'물리 데이터 모델링(ERD)'!Print_Area</vt:lpstr>
      <vt:lpstr>'컬렉션 정의서(NoSQL)'!Print_Area</vt:lpstr>
      <vt:lpstr>'테이블 명세서(RDBMS)'!Print_Area</vt:lpstr>
      <vt:lpstr>'프로그램 명세서'!Print_Area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data8316-19</dc:creator>
  <cp:lastModifiedBy>8316-31</cp:lastModifiedBy>
  <dcterms:created xsi:type="dcterms:W3CDTF">2025-03-23T01:42:56Z</dcterms:created>
  <dcterms:modified xsi:type="dcterms:W3CDTF">2026-03-12T02:46:24Z</dcterms:modified>
</cp:coreProperties>
</file>